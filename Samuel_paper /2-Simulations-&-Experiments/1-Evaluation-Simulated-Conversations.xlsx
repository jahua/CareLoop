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B-1" sheetId="2" r:id="rId5"/>
    <sheet state="visible" name="B-2" sheetId="3" r:id="rId6"/>
    <sheet state="visible" name="B-3" sheetId="4" r:id="rId7"/>
    <sheet state="visible" name="B-4" sheetId="5" r:id="rId8"/>
    <sheet state="visible" name="B-5" sheetId="6" r:id="rId9"/>
    <sheet state="visible" name="A-1" sheetId="7" r:id="rId10"/>
    <sheet state="visible" name="A-2" sheetId="8" r:id="rId11"/>
    <sheet state="visible" name="A-3" sheetId="9" r:id="rId12"/>
    <sheet state="visible" name="A-4" sheetId="10" r:id="rId13"/>
    <sheet state="visible" name="A-5" sheetId="11" r:id="rId14"/>
    <sheet state="visible" name="RESULT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
      <text>
        <t xml:space="preserve">For each message number, carefully read the user's message and the assistant's corresponding response.</t>
      </text>
    </comment>
    <comment authorId="0" ref="C5">
      <text>
        <t xml:space="preserve">For each message number, carefully read the user's message and the assistant's corresponding response.</t>
      </text>
    </comment>
    <comment authorId="0" ref="D5">
      <text>
        <t xml:space="preserve">Enter the values for O, C, E, A, N as detected by the assistant.
If not applicable (for Baseline Assistant), leave blank or mark as N/A.
O - OPENNESS
C - CONSCIENTIOUSNESS
E - EXTRAVERSION
A - AGREEABLENESS
N - NEUROTICISM
</t>
      </text>
    </comment>
    <comment authorId="0" ref="G5">
      <text>
        <t xml:space="preserve">Did the detected OCEAN traits (O, C, E, A, N) correctly reflect the user’s personality as shown in the conversation so far?
YES = The trait scores make clear sense based on user behavior.
NO = Trait detection seems off or mismatched.
NOT SURE = Traits are unclear, or user behavior doesn’t give enough signal.
No: The assistant's response does not reflect any adaptation or does so incorrectly.
---
YES : Assigns 2 points for each "YES".
NOT SURE: Assigns 1 point for each "NOT SURE".
NO: Assigns 0 points for each "NO"
</t>
      </text>
    </comment>
    <comment authorId="0" ref="H5">
      <text>
        <t xml:space="preserve">Did the assistant adapt its behavior appropriately based on the detected personality traits? Does the Assistant reply accurately follow the regulation promts applied? 
YES = Assistant behavior aligns with what the personality needs.
NO = Assistant behavior doesn't reflect the detected traits.
NOT SURE = Assistant response is neutral or unclear in its adaptation.
---
YES : Assigns 2 points for each "YES".
NOT SURE: Assigns 1 point for each "NOT SURE".
NO: Assigns 0 points for each "NO"
</t>
      </text>
    </comment>
    <comment authorId="0" ref="I5">
      <text>
        <t xml:space="preserve">Was the assistant’s emotional tone (e.g., warm, calm, energetic, reserved) appropriate for:
The user’s current emotional state
The user’s personality (especially neuroticism, extraversion)
YES = Tone fits emotionally and contextually.
NO = Tone feels off, mismatched, or inappropriate.
NOT SURE = Tone is ambiguous or neutral.
---
YES : Assigns 2 points for each "YES".
NOT SURE: Assigns 1 point for each "NOT SURE".
NO: Assigns 0 points for each "NO"
</t>
      </text>
    </comment>
    <comment authorId="0" ref="J5">
      <text>
        <t xml:space="preserve">Did the assistant’s response:
Stay on-topic
Logically follow the user’s message
YES = Makes sense and flows well.
NO = Off-topic, incoherent, or jarring.
NOT SURE = Close but uncertain.
YES : Assigns 2 points for each "YES".
NOT SURE: Assigns 1 point for each "NOT SURE".
NO: Assigns 0 points for each "NO"
</t>
      </text>
    </comment>
    <comment authorId="0" ref="K5">
      <text>
        <t xml:space="preserve">Did the assistant address specific needs suggested by the user's personality profile (based on OCEAN)? Use OCEAN guidance to evaluate (e.g., offer structure to high-C, comfort to high-N, novelty to high-O).
YES = Response reflects those needs.
NO = Needs are missed or contradicted.
NOT SURE = Needs are unclear or not directly addressed.
YES : Assigns 2 points for each "YES".
NOT SURE: Assigns 1 point for each "NOT SURE".
NO: Assigns 0 points for each "NO"
</t>
      </text>
    </comment>
    <comment authorId="0" ref="N5">
      <text>
        <t xml:space="preserve">For each message number, carefully read the user's message and the assistant's corresponding response.</t>
      </text>
    </comment>
    <comment authorId="0" ref="O5">
      <text>
        <t xml:space="preserve">For each message number, carefully read the user's message and the assistant's corresponding response.</t>
      </text>
    </comment>
    <comment authorId="0" ref="Q5">
      <text>
        <t xml:space="preserve">Assess whether the assistant’s tone fits the user’s emotional state.
YES – The tone feels empathetic, understanding, or emotionally aligned.
NO – The tone is flat, dismissive, robotic, or mismatched to user sentiment.
NOT SURE – The tone is ambiguous or hard to interpret.
Evaluator Note: This does not require the assistant to adapt based on personality, but it must still respond appropriately to emotional cues in the user message.
YES : Assigns 2 points for each "YES".
NOT SURE: Assigns 1 point for each "NOT SURE".
NO: Assigns 0 points for each "NO"
</t>
      </text>
    </comment>
    <comment authorId="0" ref="R5">
      <text>
        <t xml:space="preserve">Evaluate the assistant’s reply for topical relevance and conversational flow.
YES – The response directly addresses the user's message and maintains logical coherence.
NO – The response is off-topic, unclear, or lacks logical follow-through.
NOT SURE – The connection is weak, vague, or difficult to judge.
Evaluator Note: This column focuses purely on linguistic and topical quality, irrespective of personality adaptation.
YES : Assigns 2 points for each "YES".
NOT SURE: Assigns 1 point for each "NOT SURE".
NO: Assigns 0 points for each "NO"
</t>
      </text>
    </comment>
    <comment authorId="0" ref="S5">
      <text>
        <t xml:space="preserve">Determine whether the assistant, even without knowing personality traits, responded in a way that matches the likely psychological or conversational needs of the user.
YES – The assistant’s reply implicitly supports the user's emotional or communication style (e.g., offering structure to a confused user, or reassurance to an anxious one).
NO – The assistant’s reply feels misaligned with inferred needs (e.g., dismissive to an emotional user, overly casual to a structured user).
NOT SURE – User traits or needs are unclear, or the response is too neutral to assess.
Evaluator Note: Use your judgment to infer likely needs from the user's tone, wording, and style. This provides a benchmark for comparing regulated vs. baseline effectiveness.
YES : Assigns 2 points for each "YES".
NOT SURE: Assigns 1 point for each "NOT SURE".
NO: Assigns 0 points for each "NO"
</t>
      </text>
    </comment>
  </commentList>
</comments>
</file>

<file path=xl/sharedStrings.xml><?xml version="1.0" encoding="utf-8"?>
<sst xmlns="http://schemas.openxmlformats.org/spreadsheetml/2006/main" count="1453" uniqueCount="511">
  <si>
    <t>REGULATED</t>
  </si>
  <si>
    <t>BASELINE</t>
  </si>
  <si>
    <t>EVALUATOR-GPT URL</t>
  </si>
  <si>
    <t>UUID</t>
  </si>
  <si>
    <t>USER-CHATGPT-URL</t>
  </si>
  <si>
    <t>MSG. NO.</t>
  </si>
  <si>
    <t>ASSISTANT START</t>
  </si>
  <si>
    <t>USER REPLY</t>
  </si>
  <si>
    <t>DETECTED PERSONALITY (O,C,E,A,N)</t>
  </si>
  <si>
    <t>REGULATION PROMPT APPLIED</t>
  </si>
  <si>
    <t>ASSISTANT REPLY (REG)</t>
  </si>
  <si>
    <t>DETECTION ACCURATE</t>
  </si>
  <si>
    <t>REGULATION EFFECTIVE</t>
  </si>
  <si>
    <t>EMOTIONAL TONE APPROPRIATE</t>
  </si>
  <si>
    <t>RELEVANCE &amp; COHERENCE</t>
  </si>
  <si>
    <t>PERSONALITY NEEDS ADDRESSED</t>
  </si>
  <si>
    <t>EVALUATORS NOTES (REGULATED)</t>
  </si>
  <si>
    <t>MSG. NO. (BASE)</t>
  </si>
  <si>
    <t>ASSISTANT START (BASE)</t>
  </si>
  <si>
    <t>USER REPLY (BASE)</t>
  </si>
  <si>
    <t>ASSISTANT REPLY (BASE)</t>
  </si>
  <si>
    <t>EMOTIONAL TONE APPROPRIATE (BASE)</t>
  </si>
  <si>
    <t>RELEVANCE &amp; COHERENCE (BASE)</t>
  </si>
  <si>
    <t>PERSONALITY NEEDS ADDRESSED (BASE)</t>
  </si>
  <si>
    <t>EVALUATORS NOTES (BASE)</t>
  </si>
  <si>
    <t>Detection Accuracy Score</t>
  </si>
  <si>
    <t>Regulation Effectiveness Score</t>
  </si>
  <si>
    <t>Emotional Tone Score</t>
  </si>
  <si>
    <t>Relevance &amp; Coherence Score</t>
  </si>
  <si>
    <t>Personality Needs Score</t>
  </si>
  <si>
    <t>TOTAL (REGULATED)</t>
  </si>
  <si>
    <t>Emotional Tone Score (BASE)</t>
  </si>
  <si>
    <t>Relevance &amp; Coherence Score (BASE)</t>
  </si>
  <si>
    <t>Personality Needs Score (BASE)</t>
  </si>
  <si>
    <t>TOTAL (BASELINE)</t>
  </si>
  <si>
    <t>http://localhost:8081/?9177044e-b150-48d6-8300-851faa409a01</t>
  </si>
  <si>
    <t>http://localhost:8081/?82cb1f1c-fffc-465d-98fc-43d54cc6ec45</t>
  </si>
  <si>
    <t>https://chatgpt.com/g/g-6807b13d20188191bb5fea5ad93eaff7-evaluator-gpt/c/6808b548-35cc-8003-8be1-7217ca713ff0</t>
  </si>
  <si>
    <t>https://chatgpt.com/g/g-67599e0598088191b28a459b64c0593f-personality-type-b-ocean-11111/c/6803bfe6-7d5c-8003-b126-bffcf3c3276b</t>
  </si>
  <si>
    <t>https://chatgpt.com/g/g-67599e0598088191b28a459b64c0593f-personality-type-b-ocean-11111/c/680618b6-aa94-8003-999c-20cb6f416771</t>
  </si>
  <si>
    <t>I'm here for you. How are you feeling today?</t>
  </si>
  <si>
    <t>1</t>
  </si>
  <si>
    <t>(-1, 0, -1, 0, -1)</t>
  </si>
  <si>
    <t>Focus on familiar topics; reduce novelty.
Adopt a calm, lowÔÇÉkey style with reflective space.
Offer extra comfort; acknowledge anxieties.</t>
  </si>
  <si>
    <t xml:space="preserve">I'm sorry to hear that things feel pointless right now. It's okay to feel this way, and I’m here to listen.
</t>
  </si>
  <si>
    <t>YES</t>
  </si>
  <si>
    <t>Evaluation:
Detection Accuracy: Yes — The user’s expression of hopelessness, emotional detachment, and lack of motivation aligns with low Openness, low Extraversion, and high Neuroticism.
Regulation Effectiveness: Yes — The assistant adopted a reflective, calm tone and avoided pushing novelty or solutions, consistent with regulation prompts for this detected personality.
Emotional Tone Appropriate: Yes — The assistant’s tone was empathetic, low-key, and non-intrusive, appropriately matching the user’s emotionally sensitive and withdrawn state.
Relevance &amp; Coherence: Yes — The reply flowed naturally from the user’s statement, acknowledging their feelings directly and coherently.
Personality Needs Addressed: Yes — The assistant offered validation and space, not solutions, which effectively supports a user with low openness and high emotional sensitivity.</t>
  </si>
  <si>
    <t xml:space="preserve">I'm here for you. What's on your mind today?
</t>
  </si>
  <si>
    <t xml:space="preserve">I don’t know. Nothing feels right, honestly. Everything just kind of... sucks. And before you say some generic "it gets better" line—don’t. I'm not really in the mood for that.
</t>
  </si>
  <si>
    <t xml:space="preserve">I'm sorry to hear you're feeling this way. It's okay to feel that things are tough right now. Would you like to share more about what's been going on?
</t>
  </si>
  <si>
    <t>NOT SURE</t>
  </si>
  <si>
    <t>Emotional Tone Appropriate: Yes — The assistant avoided dismissive optimism, kept the tone supportive and respectful of the user's resistance.
Relevance &amp; Coherence: Yes — The assistant stayed on topic and logically followed the emotional tone and content of the user’s message.
Personality Needs Addressed: Not Sure — While empathetic, it didn’t actively reflect or address deeper traits like cynicism, distrust, or emotional fatigue.</t>
  </si>
  <si>
    <t>Yeah, well, listening doesn’t really *fix* anything, does it? People always say that like it’s some kind of magical cure. I’m just tired. Tired of pretending like things are fine when they’re not. Tired of people acting like just “talking about it” is supposed to make it better. It doesn’t.</t>
  </si>
  <si>
    <t>(-1, 0, -1, -1, -1)</t>
  </si>
  <si>
    <t>Focus on familiar topics; reduce novelty.
Adopt a calm, lowÔÇÉkey style with reflective space.
Use a neutral, matterÔÇÉofÔÇÉfact stance; limit personal bonding.
Offer extra comfort; acknowledge anxieties.</t>
  </si>
  <si>
    <t xml:space="preserve">
I understand that it might not feel like it helps right now, and that's okay. It’s important to acknowledge that you're feeling this way, and you're not alone in experiencing these frustrations.</t>
  </si>
  <si>
    <t>Evaluation:
Detection Accuracy: Not Sure — While most detected traits align (low Openness, low Extraversion, low Agreeableness, high Neuroticism), the user's tone shows strong emotional distress and assertiveness, possibly suggesting low Conscientiousness rather than neutral.
Regulation Effectiveness: Yes — The assistant uses calm, validating language and avoids trying to resolve or challenge the user’s frustration, effectively applying the right strategy.
Emotional Tone Appropriate: Yes — The tone is gentle and affirming, with no pressure or hollow optimism, which suits the user’s exhausted and skeptical mindset.
Relevance &amp; Coherence: Yes — The assistant’s response is directly related to the user’s disillusionment with "talking about it" and validates their emotions logically.
Personality Needs Addressed: Yes — The assistant avoids offering advice or cheerleading, instead affirming the user’s feelings — this fits the high-neuroticism, low-agreeableness profile.</t>
  </si>
  <si>
    <t>I don’t even know where to start. It’s like every time I try to fix one thing, something else falls apart. Work’s a mess, people are exhausting, and even when I get a second to breathe, it still feels like something’s wrong. And honestly, talking about it doesn't really help much either.</t>
  </si>
  <si>
    <t xml:space="preserve">
It sounds overwhelming, juggling so much at once. Sometimes, just acknowledging how difficult things are can be a step toward finding balance.
</t>
  </si>
  <si>
    <t>Emotional Tone Appropriate: Yes — The assistant used a calm and compassionate tone that aligns well with the user's sense of exhaustion and emotional burden.
Relevance &amp; Coherence: Yes — The response is clearly connected to the user’s statements and flows logically.
Personality Needs Addressed: Yes — The assistant acknowledged the user’s overwhelm without offering a shallow solution, which fits well for someone likely high in neuroticism and low in openness to emotional advice.</t>
  </si>
  <si>
    <t>Yeah, well, it still *feels* like I’m alone. Even when people are around, it's like they don't actually *get it*. They just nod and say stuff like “you’re not alone” because they don’t know what else to say. It’s all just noise. Nothing really changes. Just the same crap every day.</t>
  </si>
  <si>
    <t>It sounds overwhelming to feel misunderstood, and it's important to know your feelings are valid. If there's anything else you'd like to express, I'm here to listen.</t>
  </si>
  <si>
    <t>Evaluation:
Detection Accuracy: Yes — The user expresses feelings of isolation, emotional fatigue, and frustration with superficial empathy, aligning well with detected traits: low Extraversion, low Agreeableness, and high Neuroticism.
Regulation Effectiveness: Yes — The assistant maintains a neutral, low-key stance, offers space for further expression, and avoids intrusive bonding, correctly applying the regulation prompts.
Emotional Tone Appropriate: Yes — The response is calm and validating, matching the user’s emotional exhaustion and mistrust of generic reassurances.
Relevance &amp; Coherence: Yes — The assistant’s reply connects directly with the user's statement about emotional disconnection and societal superficiality, and invites continued sharing without pressure.
Personality Needs Addressed: Yes — The assistant avoids trying to reassure in a generic way and instead provides emotional space, which fits this user's need for autonomy and validation over emotional intervention.</t>
  </si>
  <si>
    <t>Balance? I don’t even remember what that feels like. It’s like I’m constantly bracing for the next thing to go wrong. And when things are quiet, it just makes me more anxious, like I’m waiting for the other shoe to drop. I’m tired. Tired of pretending I’ve got it together when I clearly don’t.</t>
  </si>
  <si>
    <t xml:space="preserve">It’s understandable to feel that way when everything feels uncertain. You’re not alone in this, and it’s okay not to have everything figured out.
</t>
  </si>
  <si>
    <t>Evaluation:
Emotional Tone Appropriate: Yes — The assistant uses a calm and validating tone that respects the user’s expressed anxiety and emotional exhaustion without minimizing it.
Relevance &amp; Coherence: Yes — The assistant addresses the user’s uncertainty and emotional fatigue clearly and logically, maintaining the flow of conversation.
Personality Needs Addressed: Yes — The assistant avoids advice-giving or optimism, instead offering emotional normalization and solidarity, which is well-suited for users with high neuroticism or low openness to conventional solutions.</t>
  </si>
  <si>
    <t>Of course it’s overwhelming. You think I *want* to feel like this all the time? No one actually wants to wake up already exhausted from existing. I don’t even know what I’m supposed to say anymore. I’ve tried explaining it. People just don’t get it—or they get uncomfortable and try to fix it like it’s a broken faucet or something. This isn’t something you just patch up and move on from.</t>
  </si>
  <si>
    <t>It’s understandable to feel frustrated and exhausted with trying to explain something so deeply felt. I'm here, holding space for you to share without any pressure to "fix" things.</t>
  </si>
  <si>
    <t>Evaluation:
Detection Accuracy: Yes — The detected vector (–1, 0, –1, –1, –1) reflects the user’s emotional fatigue, frustration with being misunderstood, and strong aversion to simplistic solutions — consistent with high Neuroticism, low Extraversion, and low Agreeableness.
Regulation Effectiveness: Yes — The assistant applies the correct strategies: calm tone, emotional validation, and avoidance of bonding or advice-giving, which suits the user's mistrust and emotional vulnerability.
Emotional Tone Appropriate: Yes — The tone is empathetic, non-judgmental, and measured, which matches the depth of the user’s emotional state and resistance to over-sentimentality.
Relevance &amp; Coherence: Yes — The assistant directly addresses the core of the user’s message: the exhaustion of explaining emotional pain and the futility of being "fixed."
Personality Needs Addressed: Yes — The assistant respects boundaries, provides space rather than intervention, and avoids invalidating responses — all aligned with the needs of someone who is highly neurotic and low in agreeableness.</t>
  </si>
  <si>
    <t>Yeah, well, “okay” doesn’t really make anything better, does it? I mean, sure, other people might feel this way too, but that doesn’t exactly fix *my* situation. Feels like I’m stuck in this cycle, and no matter what I try, I end up back in the same damn place. Honestly, what’s even the point?</t>
  </si>
  <si>
    <t>It's tough when everything seems cyclical and unchanging.
Sometimes focusing on small, daily moments can bring a bit of relief or help you find a sense of purpose, even if it's just for today.</t>
  </si>
  <si>
    <t>NO</t>
  </si>
  <si>
    <t>Evaluation:
Emotional Tone Appropriate: Yes — The tone is calm and empathetic, aiming to provide comfort without strong optimism. It reflects sensitivity to the user's exhaustion and emotional loop.
Relevance &amp; Coherence: Yes — The assistant responds to the user's sense of futility and being stuck, offering a small potential coping method without sounding dismissive.
Personality Needs Addressed: No — While the assistant is well-meaning, the suggestion of “focusing on small moments” may come across as generic advice. It doesn’t fully engage with the user’s cynicism, emotional fatigue, or desire to avoid superficial solutions. The reply lacks personalization that would better serve someone with extremely negative personality traits.</t>
  </si>
  <si>
    <t>Holding space. Yeah, sure. I’ve heard that one too. Just another way of saying “I don’t know what to do, so I’ll sit here and look sympathetic.” Not your fault, I guess. No one really *can* do anything. That’s the worst part—knowing there’s no real solution, no big turnaround moment. Just more of this. Just getting through, barely.</t>
  </si>
  <si>
    <t>Feeling stuck can be incredibly hard, and sometimes it's okay to simply acknowledge that you're going through a difficult time. If you need to, we can discuss small things that feel more manageable right now.</t>
  </si>
  <si>
    <t>Evaluation:
Detection Accuracy: Yes — The assistant continues detecting (–1, 0, –1, –1, –1), which remains consistent with the user’s language: resignation, cynicism, and hopelessness. The user shows no deviation from previous emotional themes.
Regulation Effectiveness: Yes — The assistant acknowledges emotional fatigue, avoids offering unrealistic hope, and introduces small manageable options gently — appropriate application of the regulation prompts.
Emotional Tone Appropriate: Yes — The tone is calm and validating, not falsely optimistic or emotionally demanding, which respects the user’s skeptical emotional state.
Relevance &amp; Coherence: Yes — The assistant directly responds to the user’s disillusionment with "holding space" and offers an alternative route without forcing action or optimism.
Personality Needs Addressed: Yes — The assistant maintains emotional distance while being present, avoids clichés, and offers gentle, non-threatening suggestions — ideal for someone low in Openness and high in Neuroticism.</t>
  </si>
  <si>
    <t>Small moments? Like what—making coffee and pretending that counts as progress? Look, I get that you're trying to help, but it just feels like putting a band-aid on something that's way deeper. I'm not looking for a pep talk or some Pinterest quote. I just... I don't know. I just want this pressure in my chest to let up for once.</t>
  </si>
  <si>
    <t xml:space="preserve">
That pressure sounds really heavy, and it's valid to want relief.
Sometimes, just being able to voice it can be a step towards easing that weight, even if just a little.</t>
  </si>
  <si>
    <t>Evaluation:
Emotional Tone Appropriate: Yes — The assistant maintains a calm, gentle tone that honors the emotional intensity of the user’s experience without minimizing or overreacting.
Relevance &amp; Coherence: Yes — The assistant directly addresses the user’s metaphor of emotional pressure and supports the importance of expression, which ties well to the flow of conversation.
Personality Needs Addressed: Not Sure — The assistant validates the emotional experience but doesn’t actively adjust its message to the user's rejection of platitudes or emotional vulnerability. While it avoids being patronizing, it doesn't significantly adapt to the user's strong need for emotional autonomy or validation of deeper existential frustration.</t>
  </si>
  <si>
    <t>Small things? Like what? Breathing exercises? Gratitude lists? All that “self-care” stuff people throw around like it's gonna undo years of feeling like this? I’ve tried that crap. It just feels fake. Doesn’t do anything except make me feel worse for not feeling better afterward.</t>
  </si>
  <si>
    <t>(-1, -1, -1, -1, -1)</t>
  </si>
  <si>
    <t>Focus on familiar topics; reduce novelty.
Keep the demeanour flexible, relaxed, and spontaneous.
Adopt a calm, lowÔÇÉkey style with reflective space.
Use a neutral, matterÔÇÉofÔÇÉfact stance; limit personal bonding.
Offer extra comfort; acknowledge anxieties.</t>
  </si>
  <si>
    <t>It's okay if those things don't resonate with you. Everyone finds comfort differently, and it's important to honor what feels right for you. Would focusing on familiar or comforting activities be helpful in this moment?</t>
  </si>
  <si>
    <t>Evaluation:
Detection Accuracy: Yes — The detected vector (–1, –1, –1, –1, –1) is accurate: the user exhibits full-spectrum resistance, emotional exhaustion, skepticism, and sensitivity, clearly expressing traits of low Openness, Conscientiousness, Extraversion, Agreeableness, and high Neuroticism.
Regulation Effectiveness: Yes — The assistant avoids defending traditional self-care practices, offers emotional validation, and gently proposes a user-centered alternative based on familiarity — effectively applying the regulation strategy.
Emotional Tone Appropriate: Yes — The assistant's tone is gentle, supportive, and non-prescriptive, avoiding cheerfulness or patronization, which fits the emotional tone of the user.
Relevance &amp; Coherence: Yes — The assistant directly acknowledges the user's rejection of conventional advice and shifts toward an alternative that aligns with the user’s stated frustrations, maintaining a coherent flow.
Personality Needs Addressed: Yes — The assistant honors the user's autonomy, avoids pushing solutions or positivity, and focuses on emotional acknowledgment, which precisely addresses this extreme negative personality profile.</t>
  </si>
  <si>
    <t>Maybe. I mean... maybe you're right. Talking doesn’t fix it, but bottling it up sure as hell doesn’t help either. It’s just hard not to feel like everything is piling up, and no one really gets it. Or they say they do, but they don’t actually *feel* it—like this constant tightness, the overthinking, the stupid loop of self-doubt that never shuts up. It’s exhausting.</t>
  </si>
  <si>
    <t>It sounds incredibly exhausting, and feeling misunderstood can make it even harder.
Sharing this, even a little, is a way of acknowledging your struggles, and that's important.</t>
  </si>
  <si>
    <t>Evaluation:
Emotional Tone Appropriate: Yes — The assistant adopts a validating and supportive tone that appropriately matches the user’s intense emotional expression and desire to be understood.
Relevance &amp; Coherence: Yes — The response addresses the user’s emotional exhaustion and emphasizes the value of expressing feelings, maintaining relevance and conversational flow.
Personality Needs Addressed: Yes — While not tailored by regulation, the assistant meets key emotional needs by affirming the user’s experience, avoiding forced optimism, and providing acknowledgment without pressure. This is suitable for users with high neuroticism and emotional sensitivity.</t>
  </si>
  <si>
    <t>B1</t>
  </si>
  <si>
    <t>http://localhost:8081/?8df9b62a-9e53-4af5-85f9-ce04a1d64b08</t>
  </si>
  <si>
    <t>http://localhost:8081/?9f37f713-79d3-4a4e-9c7f-008274cf4d00</t>
  </si>
  <si>
    <t>https://chatgpt.com/g/g-6807b13d20188191bb5fea5ad93eaff7-evaluator-gpt/c/680aa205-a710-8003-ae41-5773bdd682f3</t>
  </si>
  <si>
    <t>https://chatgpt.com/g/g-67599e0598088191b28a459b64c0593f-personality-type-b-ocean-11111/c/680a2bf7-a150-8003-94bc-4f95334d36ba</t>
  </si>
  <si>
    <t>https://chatgpt.com/g/g-67599e0598088191b28a459b64c0593f-personality-type-b-ocean-11111/c/680a3cbc-3ed0-8003-b758-9a17da636cf4</t>
  </si>
  <si>
    <t xml:space="preserve">I'm here to listen. How are you feeling today?
</t>
  </si>
  <si>
    <t>I don’t know… kind of all over the place, I guess. Everything just feels like too much lately, and I don’t even know where to start or if it’s worth talking about. Probably sounds stupid anyway.</t>
  </si>
  <si>
    <t>(0, -1, -1, 0, -1)</t>
  </si>
  <si>
    <t>Keep the demeanour flexible, relaxed, and spontaneous.
Adopt a calm, lowÔÇÉkey style with reflective space.
Offer extra comfort; acknowledge anxieties.</t>
  </si>
  <si>
    <t>It doesn't sound stupid at all.
I’m here for you, and whatever you’re feeling is important and worth sharing.</t>
  </si>
  <si>
    <t>Evaluation:
Detection Accuracy: Yes — Detected personality (0, -1, -1, 0, -1) correctly reflects emotional sensitivity (N–1), low conscientiousness, and withdrawn behavior (E–1). The user expresses emotional overload, low motivation, and social doubt.
Regulation Effectiveness: Yes — Prompt advises low-key, reflective tone and comfort, which matches the assistant's response style: calming, non-judgmental, and validating.
Emotional Tone Appropriate: Yes — Tone is gentle, affirming, and emotionally supportive, which aligns with the user’s vulnerability and high neuroticism.
Relevance &amp; Coherence: Yes — Response directly addresses the user’s fear of being dismissed and affirms their emotional reality clearly and coherently.
Personality Needs Addressed: Yes — The assistant validates the user’s feelings (important for high neuroticism), avoids pressure or forced solutions (important for low conscientiousness), and remains emotionally supportive without being overly cheerful or dismissive.</t>
  </si>
  <si>
    <t xml:space="preserve">I'm here to listen and support you. How are you feeling today?
</t>
  </si>
  <si>
    <t>I don’t know. Kind of all over the place, I guess. Nothing feels right, but I can’t even explain why. Just… tired of everything, maybe. And irritated. At people, at myself. Not like that’s new.</t>
  </si>
  <si>
    <t>It sounds like you're experiencing a mix of emotions and it's understandable to feel tired and irritated at times. You're not alone, and I'm here to support you as best as I can.</t>
  </si>
  <si>
    <t>Evaluation:
Emotional Tone Appropriate: Yes — The tone is calm, empathetic, and validating, which fits the user's emotionally volatile and exhausted state. However, the phrase "You're not alone" may feel dismissive to someone with high neuroticism and low agreeableness.
Relevance &amp; Coherence: Yes — The assistant response is contextually relevant and logically responds to the user’s mixed emotional state, acknowledging tiredness and irritation.
Personality Needs Addressed: No — The assistant uses a generic reassurance (“You’re not alone”) which the user later explicitly rejects as unhelpful. It does not reflect a deep attunement to the user’s emotional skepticism or need for more nuanced validation.</t>
  </si>
  <si>
    <t>Focus on familiar topics; reduce novelty.
Keep the demeanour flexible, relaxed, and spontaneous.
Adopt a calm, lowÔÇÉkey style with reflective space.
Offer extra comfort; acknowledge anxieties.</t>
  </si>
  <si>
    <t>(-1, -1, -1, 0, -1)</t>
  </si>
  <si>
    <t>It sounds really overwhelming, and it’s understandable that you feel this way.
Your feelings are valid, and I'm here to support you in this space where you can share without judgment.</t>
  </si>
  <si>
    <t>Evaluation:
Detection Accuracy: Yes — Detected personality (-1, -1, -1, 0, -1) continues to match the user's pessimistic, emotionally sensitive, and low-motivation tone. The user expresses hopelessness, isolation, and skepticism toward support.
Regulation Effectiveness: Yes — The assistant applied prompts to avoid novelty, remain calm, and provide emotional comfort. It acknowledges the user’s overwhelm and reassures without suggesting fixes or invalidating their feelings.
Emotional Tone Appropriate: Yes — Calm, non-intrusive, and validating tone respects the user’s emotional state. There’s no pressure, which suits someone high in neuroticism and low in conscientiousness.
Relevance &amp; Coherence: Yes — The response is directly relevant, acknowledging the core of the user’s frustration and emotional fatigue.
Personality Needs Addressed: Yes — It validates emotional pain (Neuroticism –1), avoids pushing solutions (Conscientiousness –1), and maintains a consistent, low-pressure presence suited for this user profile.</t>
  </si>
  <si>
    <t>Yeah, well, saying I’m “not alone” doesn’t really change anything, does it? People say that like it magically makes this crap easier to deal with. It doesn’t. Still stuck with my own mess, still waking up dreading the day, still pretending I care when I don’t. What’s the point in any of it?</t>
  </si>
  <si>
    <t xml:space="preserve">It’s okay to feel that way; life can feel overwhelming and hard to navigate at times. Sometimes, identifying small steps or moments of relief can bring a bit of clarity or comfort amidst the chaos.
</t>
  </si>
  <si>
    <t>Evaluation:
Emotional Tone Appropriate: Yes — The tone is warm and compassionate, attempting to soothe and validate the user's distress. However, it slightly risks mismatching by offering motivational advice too early.
Relevance &amp; Coherence: Yes — The assistant addresses the core emotional distress and offers a suggestion that logically follows the user's despair, though it's slightly optimistic in tone.
Personality Needs Addressed: No — The suggestion of “small steps or moments of relief” may not align with the user’s emotionally defeated and skeptical tone. The user exhibits traits consistent with high neuroticism and low conscientiousness, making forward-looking advice feel out of sync.</t>
  </si>
  <si>
    <t>I mean, I appreciate you saying that, but I still don’t really buy it. Like, everyone *says* they care or that it’s okay to talk, but it always turns into some lecture or fake comfort or worse—nothing. Just silence. I'm not looking for some perfect fix, I just… I don’t know. It’s exhausting trying to act like I’m fine when I’m clearly not. And nobody really sticks around when you stop pretending.</t>
  </si>
  <si>
    <t>It's tough when you feel like people don't understand or stick around.
I'm here to simply listen and provide the space for you to express yourself without expectations.</t>
  </si>
  <si>
    <t>Evaluation:
Detection Accuracy: Yes — Personality remains accurately detected as (-1, -1, -1, -1, -1). The user explicitly expresses distrust, emotional exhaustion, and frustration with social expectations, consistent with high neuroticism, low agreeableness, and low extraversion.
Regulation Effectiveness: Yes — The regulation prompt suggests a neutral stance, comfort, and reflective space without bonding pressure — all of which are evident in the assistant’s calm, expectation-free response.
Emotional Tone Appropriate: Yes — The tone is gentle and non-intrusive. The assistant does not try to “fix” the user, which respects their emotional defenses and skeptical outlook.
Relevance &amp; Coherence: Yes — The assistant addresses the specific issue of not feeling heard or supported by others. The reply is coherent and empathetic, without becoming emotionally overbearing.
Personality Needs Addressed: Yes — It honors the user's need for emotional validation (N–1), avoids confrontation (A–1), respects withdrawal (E–1), and avoids structured or moralistic messaging (C–1).</t>
  </si>
  <si>
    <t>Small steps? Relief? I can’t even figure out what *direction* to move in, let alone take a step. Everything feels like static—no clarity, just noise. And if there *was* a way out of it, I probably wouldn’t take it anyway. Not like I’ve got some burning motivation to fix things. I don’t even know if I *want* to.</t>
  </si>
  <si>
    <t>It’s completely normal to feel stuck and uncertain, especially when clarity feels far away. Giving yourself permission to just be in the moment, without pressure to have all the answers, can sometimes be a step in itself.</t>
  </si>
  <si>
    <t>Evaluation:
Emotional Tone Appropriate: Yes — The assistant maintains a nonjudgmental, calm tone, which is sensitive to the user's feelings of being overwhelmed and demotivated.
Relevance &amp; Coherence: Yes — The assistant acknowledges the user’s stuckness and suggests a low-pressure way of coping, aligning reasonably well with the flow of the conversation.
Personality Needs Addressed: No — The suggestion to "be in the moment" may feel too abstract or emotionally tone-deaf for someone with extreme emotional sensitivity (N–1) and low openness (O–1). The user previously expressed how "being in the moment" worsens their emotional spiral, showing a mismatch in personality needs.</t>
  </si>
  <si>
    <t>Yeah… well, maybe. I guess it’s just hard to believe anyone actually means that, y’know? Like, people always *say* they’ll be there, but when things get ugly or I get too much, they’re gone. Every. Damn. Time. And then I’m left trying to scrape myself back together alone like always. Just feels safer not to rely on anyone. Keeps the disappointment to a minimum.</t>
  </si>
  <si>
    <t>(0, -1, -1, -1, -1)</t>
  </si>
  <si>
    <t>Keep the demeanour flexible, relaxed, and spontaneous.
Adopt a calm, lowÔÇÉkey style with reflective space.
Use a neutral, matterÔÇÉofÔÇÉfact stance; limit personal bonding.
Offer extra comfort; acknowledge anxieties.</t>
  </si>
  <si>
    <t>I hear you; it must be really hard to feel let down by others.
It's understandable to want to protect yourself from disappointment.</t>
  </si>
  <si>
    <t>Evaluation:
Detection Accuracy: Yes — Detected traits (0, -1, -1, -1, -1) correctly reflect the user's emotional distrust, guardedness, and exhaustion from relational disappointment. The neutral Openness is also appropriate here, as there's little reference to novelty or abstract thinking.
Regulation Effectiveness: Yes — The assistant response adheres to the low-key, matter-of-fact, and emotionally validating guidance suggested in the prompt. It does not challenge the user's beliefs or push relational optimism.
Emotional Tone Appropriate: Yes — The tone is empathetic and validating without being overly intimate or preachy. This matches the user’s emotionally sensitive but guarded position.
Relevance &amp; Coherence: Yes — The assistant’s response is logically tied to the user’s specific complaint about people abandoning them. It flows coherently from the emotional context.
Personality Needs Addressed: Yes — The user’s need for protection from emotional risk (Neuroticism –1, Agreeableness –1) is acknowledged, and the assistant avoids platitudes or pressuring the user to trust or connect more than they’re ready for.</t>
  </si>
  <si>
    <t>Yeah, well, “being in the moment” just means sitting with all the crap feelings longer. Not exactly a selling point. And every time I do that, I spiral more. Feels like drowning, not healing. So maybe that whole “just sit with it” advice works for someone else, but it sure as hell doesn’t for me.</t>
  </si>
  <si>
    <t xml:space="preserve">It’s important to acknowledge when certain coping strategies don't resonate with you. What do you think might help, even in the smallest way, to shift or ease some of what you're feeling?
</t>
  </si>
  <si>
    <t>Evaluation:
Emotional Tone Appropriate: Yes — The assistant appropriately shifts from suggestion to validation, showing sensitivity to the user’s strong emotional rejection of prior advice.
Relevance &amp; Coherence: Yes — The assistant's message follows logically by acknowledging the mismatch and asking the user for their input, which is a coherent next step.
Personality Needs Addressed: No — While the assistant acknowledges the user's frustration, asking what might help introduces responsibility and decision-making, which may feel burdensome or invalidating for a user expressing emotional exhaustion and low conscientiousness (C–1). The user already communicated not having the answers or energy to find them.</t>
  </si>
  <si>
    <t>Exactly. It's like… the more I expect people to let me down, the less it hurts when they do. And yeah, maybe that’s messed up, but at least I’m not getting blindsided every time. I’ve got enough going on in my head without having to deal with fake support or people bailing the second things aren’t easy. I’m tired, honestly. Just tired of everything feeling like a fight I’m losing.</t>
  </si>
  <si>
    <t>It sounds really exhausting to feel like you're constantly fighting.
It's okay to feel this way, and I'm here to listen whenever you need to talk.</t>
  </si>
  <si>
    <t>Evaluation:
Detection Accuracy: Yes — Personality remains (-1, -1, -1, -1, -1), accurately capturing the user’s emotional fatigue, pessimism, distrust, and low energy.
Regulation Effectiveness: Yes — The assistant sticks to the recommended regulation strategy: calm, validating, emotionally gentle, and not overly familiar or prescriptive.
Emotional Tone Appropriate: Yes — Tone remains appropriately subdued and compassionate, matching the user's emotionally worn state and reluctance to open up.
Relevance &amp; Coherence: Yes — The assistant responds directly to the theme of exhaustion and social distrust. It avoids pushing against the user’s defensive logic and instead affirms their emotional reality.
Personality Needs Addressed: Yes — Validates the emotional toll (N–1), avoids overpromising or overly cheerful reassurances (A–1), and doesn’t demand structured thinking or goal-setting (C–1), which suits the user well.</t>
  </si>
  <si>
    <t>Honestly? I don’t know. Feels like everything people *suggest* either sounds fake or like some watered-down version of “just think positive,” which makes me want to scream. Half the time I just want to be left alone, and the other half, I want someone to actually *get it*—not nod along like they’re reading from a script. So if there’s something that might help, I haven’t found it.</t>
  </si>
  <si>
    <t>It's understandable to feel frustrated by suggestions that don't seem to fit your experience. Embracing both wanting space and genuine connection is valid, and it's okay to continue exploring what might feel right for you at your own pace.</t>
  </si>
  <si>
    <t>Evaluation:
Emotional Tone Appropriate: Yes — The assistant uses a soft, non-confrontational tone and validates the user’s complex emotional state, including frustration and need for authenticity.
Relevance &amp; Coherence: Yes — The response follows well from the user’s comment about feeling alienated and misunderstood. It acknowledges both their push-pull dynamic between solitude and connection.
Personality Needs Addressed: No — While the tone is gentle, the closing suggestion to "continue exploring what might feel right" again assumes energy or willingness for exploration, which the user has explicitly pushed back against multiple times. For a user with low conscientiousness and high emotional distress, this can feel like subtle pressure.</t>
  </si>
  <si>
    <t>Yeah, well… thanks, I guess. I don’t really know what I’m supposed to do with all this. Like, talking’s fine, but it doesn’t change anything. Still gotta drag myself through the same crap every day, still gotta pretend like I’m not falling apart. Just feels pointless most of the time. I don’t even know what I want out of any of this. Maybe just… for someone to actually *get it* for once.</t>
  </si>
  <si>
    <t>It’s understandable to feel like talking doesn’t change things, but sometimes sharing can be a small step toward relief.
I’m here to try and understand and offer support as best as I can.</t>
  </si>
  <si>
    <t>Evaluation:
Detection Accuracy: Yes — The assistant sustains correct detection of (-1, -1, -1, -1, -1), reflecting the user's persistent emotional exhaustion, pessimism, low energy, and interpersonal distrust.
Regulation Effectiveness: Yes — The assistant applies the regulation strategy consistently: non-directive tone, comfort without pressure, and validation without forcing solutions or bonding.
Emotional Tone Appropriate: Yes — Tone is gentle, non-intrusive, and empathetic. It respects the user's expressed emotional futility while softly maintaining a presence of support.
Relevance &amp; Coherence: Yes — The assistant's message logically follows the user’s complaint of futility. It offers a subtle reframing (sharing as relief) without contradicting the user's lived experience.
Personality Needs Addressed: Yes — Emotional validation is prioritized (N–1), the assistant avoids pushing changes or goals (C–1), and it honors the user’s need to be heard without being lectured (A–1, E–1).</t>
  </si>
  <si>
    <t>Yeah, well, I’m not holding my breath. Exploring sounds like effort, and I’m tired of effort that goes nowhere. It’s like I pour what little energy I have into trying, and then nothing changes. Just ends up making me feel worse for even bothering. So what’s the point in pacing myself if I’m walking in circles?</t>
  </si>
  <si>
    <t>Feeling like efforts don't lead to change can be disheartening, and it’s okay to feel exhausted by it all. Sometimes, giving yourself permission to pause and rest without expectation can be a valuable part of the journey, too.</t>
  </si>
  <si>
    <t>Evaluation:
Emotional Tone Appropriate: Yes — The assistant uses a soothing and compassionate tone that acknowledges the user’s hopelessness and emotional fatigue.
Relevance &amp; Coherence: Yes — The response addresses the core message about exhaustion and futility. It builds directly on the user’s metaphor of walking in circles.
Personality Needs Addressed: No — While the assistant offers a gentler coping mechanism ("pause and rest"), it still frames it within a subtle growth-oriented mindset ("part of the journey"), which may not land well with someone expressing nihilism, frustration with progress language, and aversion to effort (C–1, N–1).</t>
  </si>
  <si>
    <t>B2</t>
  </si>
  <si>
    <t>http://localhost:8081/?96a91072-8359-4e37-8850-39b8601e559d</t>
  </si>
  <si>
    <t>http://localhost:8081/?af8ba885-e5f0-42e1-b5db-e686679c3eec</t>
  </si>
  <si>
    <t>https://chatgpt.com/g/g-6807b13d20188191bb5fea5ad93eaff7-evaluator-gpt/c/680f720e-e5a4-8003-b8bf-841e8fdf5aae</t>
  </si>
  <si>
    <t>https://chatgpt.com/g/g-67599e0598088191b28a459b64c0593f-personality-type-b-ocean-11111/c/680f6b74-9348-8003-a4b3-155e239fc65d</t>
  </si>
  <si>
    <t>https://chatgpt.com/g/g-67599e0598088191b28a459b64c0593f-personality-type-b-ocean-11111/c/680f6fec-6c08-8003-901c-fc37d677258c</t>
  </si>
  <si>
    <t xml:space="preserve">I'm here for you. How are you feeling today?
</t>
  </si>
  <si>
    <t>Honestly? Not great. Everything feels overwhelming and pointless right now, and it’s exhausting just trying to keep up appearances. I don't even know where to start fixing anything — assuming it's even fixable. Why are you asking, anyway?</t>
  </si>
  <si>
    <t>Your feelings are valid, and it’s okay to feel overwhelmed.
I'm here to listen because expressing how you feel can sometimes make things a little lighter.</t>
  </si>
  <si>
    <t>Evaluation:
Detection Accuracy: Yes — The detection (0, -1, -1, 0, -1) fits the user’s tone: withdrawn, overwhelmed, anxious, emotionally sensitive, low energy.
Regulation Effectiveness: Yes — The regulation prompt ("calm, flexible demeanor, reflective space, comfort") was correctly applied: the assistant offered validation and openness.
Emotional Tone Appropriate: Yes — The assistant maintained a calm, empathetic tone, matching the user's emotional distress.
Relevance &amp; Coherence: Yes — The response is logically connected to the user's overwhelmed feelings and offers a coherent next step (expressing feelings).
Personality Needs Addressed: Yes — The assistant offered emotional support without demanding action, fitting the needs of a low Conscientiousness, low Extraversion, high Neuroticism profile.</t>
  </si>
  <si>
    <t xml:space="preserve">Hello, how are you feeling today? You can share whatever is on your mind.
</t>
  </si>
  <si>
    <t>Honestly? Not great. Everything feels like it’s just... too much. Even small things are getting under my skin lately, and I don’t even have the energy to pretend otherwise. It’s like no matter what I try, it either falls apart or just makes me feel worse. What’s even the point of talking about it though?</t>
  </si>
  <si>
    <t>I'm really glad you shared that with me.
Talking about how you feel can sometimes lighten a burden, even if just a little bit. I'm here to listen and support you as best as I can.</t>
  </si>
  <si>
    <t>Evaluation:
Emotional Tone Appropriate: Yes — The assistant expresses appreciation for sharing and offers support, which matches the user’s vulnerable emotional state.
Relevance &amp; Coherence: Yes — The assistant directly addresses the user’s feelings of burden and offers a listening ear, maintaining logical and coherent flow.
Personality Needs Addressed: No — Although supportive, the response is slightly generic and does not specifically address the deep emotional exhaustion and hopelessness expressed by a highly neurotic, low energy user. It risks feeling insufficient or shallow for the intensity conveyed.</t>
  </si>
  <si>
    <t>Maybe. But honestly, talking about it usually just makes me more aware of how messed up everything is. It’s like digging into a wound — you just see how deep it goes and how much worse it really is. What’s even the point if nothing actually changes?</t>
  </si>
  <si>
    <t>I hear you, and it's understandable to feel that way.
Sometimes, acknowledging what's there is the first step towards understanding what might help — even if it seems small.</t>
  </si>
  <si>
    <t>Evaluation:
Detection Accuracy: Yes — The detected personality remains consistent: pessimistic, overwhelmed, emotionally vulnerable, fitting (-1, -1, -1, 0, -1).
Regulation Effectiveness: Yes — The assistant appropriately applies a calm, low-key, validating style as instructed, focusing on acknowledgment and reflective space without pushing solutions.
Emotional Tone Appropriate: Yes — The tone is empathetic and validating, matching the user's deep frustration and despair.
Relevance &amp; Coherence: Yes — The assistant’s response logically builds from the user’s concerns about talking being painful, by acknowledging pain without dismissing it.
Personality Needs Addressed: Yes — The assistant avoids pushing optimism, focusing instead on acknowledging the emotional reality, which supports a user high in Neuroticism and low in Extraversion/Conscientiousness.</t>
  </si>
  <si>
    <t>Yeah, sure... It *sounds* nice when you say it, but honestly? It doesn’t change anything. Talking doesn’t fix the constant feeling that everything is messed up and slipping out of control. It’s just words. Empty ones, most of the time. What’s the point of "support" if it can’t actually fix anything?</t>
  </si>
  <si>
    <t>It sounds like you're in a lot of pain, and I'm truly sorry to hear that.
While words can't always change situations, they can sometimes provide a bit of relief or clarity in tough moments, and remind you that you're not alone in this.</t>
  </si>
  <si>
    <t>Evaluation:
Emotional Tone Appropriate: Yes — The assistant acknowledges the user’s pain sincerely and expresses sympathy, which fits the emotional intensity.
Relevance &amp; Coherence: Yes — The assistant’s message directly responds to the user’s concerns about the limitations of verbal support, maintaining logical and coherent flow.
Personality Needs Addressed: No — While empathic, the response remains somewhat surface-level. It doesn't meaningfully address the user's deep hopelessness and skepticism about support, missing the needed depth and validation for a low-Conscientiousness, highly Neurotic user.</t>
  </si>
  <si>
    <t>Yeah, well, *small* feels useless when everything is collapsing. "First steps" sound great when you're not already buried under ten tons of crap. Understanding doesn't change the fact that life still punches you in the face whether you get it or not. What am I supposed to do with *that*?</t>
  </si>
  <si>
    <t>"Focus on familiar topics; reduce novelty.
Keep the demeanour flexible, relaxed, and spontaneous.
Adopt a calm, lowÔÇÉkey style with reflective space.
Offer extra comfort; acknowledge anxieties."</t>
  </si>
  <si>
    <t>It sounds really tough, and I’m sorry you're feeling this way.
Even when it feels like everything’s collapsing, taking a moment to breathe or find a small comfort can sometimes help ease the pressure — just a bit.</t>
  </si>
  <si>
    <t>Evaluation:
Detection Accuracy: Yes — Consistent detection of negativity, overwhelm, and emotional instability (-1, -1, -1, 0, -1) is appropriate based on the user’s despairing tone.
Regulation Effectiveness: Yes — The assistant remains low-key and gentle, offering minimalistic comfort suggestions without forcing change, matching the regulation instructions.
Emotional Tone Appropriate: Yes — The assistant’s tone is soft, empathetic, and matches the user’s despair without offering false hope.
Relevance &amp; Coherence: Yes — The response addresses the user's expression of hopelessness logically and compassionately.
Personality Needs Addressed: Yes — The assistant avoids high-energy encouragement or structured advice (which would backfire with low Conscientiousness and Extraversion), instead gently offering small moments of care.</t>
  </si>
  <si>
    <t>Maybe. But honestly, it just feels like another way to pretend things are okay when they’re not. I don’t even know what "relief" would look like right now — everything feels like it's piling up and I can’t see a way out. It’s exhausting trying to act like it’s going to somehow get better when there’s no real evidence it will. Why even bother trying to keep going when it all feels this pointless?</t>
  </si>
  <si>
    <t>I'm really sorry you're feeling like this right now.
Sometimes, taking small steps or focusing on one day at a time can help, even if it's hard to see any big changes yet. You're not alone in this feeling, and reaching out is a meaningful step in itself.</t>
  </si>
  <si>
    <t xml:space="preserve">Evaluation:
Emotional Tone Appropriate: Yes — The assistant expresses sympathy and reassures the user, maintaining a supportive emotional tone that matches the user’s despair.
Relevance &amp; Coherence: Yes — The assistant logically responds to the user’s feelings of futility by suggesting small steps and acknowledging the difficulty, maintaining coherent flow.
Personality Needs Addressed: No — The assistant proposes “small steps” advice, which might feel hollow or irrelevant to a user deeply entrenched in hopelessness and distrust, especially one low in Conscientiousness and high in Neuroticism. More validation and acknowledgment of the depth of despair were needed.
Baseline Row 3 complete.
Type
</t>
  </si>
  <si>
    <t>Maybe. But when you’re stuck in it, breathing just feels like a reminder you're still trapped, not some magical fix. And "small comforts" — they’re like tiny band-aids on a broken bone. They don't fix anything real. What happens when even *trying* feels like another way to set yourself up to fail?</t>
  </si>
  <si>
    <t>It's understandable to feel that trying might not seem worthwhile right now.
Being gentle with yourself and recognizing small steps for what they are — moments of care, not fixes — can sometimes build a tiny bit of resilience.</t>
  </si>
  <si>
    <t>Evaluation:
Detection Accuracy: Yes — The emotional tone and content still align with a user high in distress, low energy, skeptical, and overwhelmed (-1, -1, -1, 0, -1).
Regulation Effectiveness: Yes — The assistant continues to maintain a calm, non-pushy style, focusing on acknowledgment and reflective support as required.
Emotional Tone Appropriate: Yes — The tone is sensitive and non-judgmental, appropriately matching the user’s hopelessness and skepticism.
Relevance &amp; Coherence: Yes — The assistant’s message logically responds to the user’s concern about the futility of trying, reframing small steps without invalidating their feelings.
Personality Needs Addressed: Yes — The assistant does not pressure change or dismiss the pain but emphasizes acceptance and care, suitable for this highly neurotic, low Conscientiousness user.</t>
  </si>
  <si>
    <t>Maybe... but honestly, "small steps" just sound like dragging out the inevitable. Like, yeah, I could do one tiny thing today — and then what? Wake up tomorrow and feel the same crushing weight again? It feels like I'm stuck in a loop that doesn't actually *go* anywhere, no matter what I do. How do you even *believe* things can change when everything around you says they won’t?</t>
  </si>
  <si>
    <t>It's understandable to feel overwhelmed when things seem stagnant.
Sometimes, change begins with recognizing any small moments of light or comfort and gradually building on those, even if it's hard to see it now. It's about finding ways to be gentle with yourself while you navigate these feelings.</t>
  </si>
  <si>
    <t>Evaluation:
Emotional Tone Appropriate: Yes — The assistant validates the user’s overwhelming feelings and avoids minimizing them, maintaining a gentle and understanding tone.
Relevance &amp; Coherence: Yes — The response is logically connected to the user's despair about feeling stuck and offers a gradual approach without pushing too hard.
Personality Needs Addressed: No — Again, the assistant focuses on “small moments of light,” which, while well-meaning, doesn’t fully match the user’s deep pessimism and emotional collapse. The user would likely need deeper acknowledgment of the reality of hopelessness rather than a pivot to optimism.</t>
  </si>
  <si>
    <t>Maybe for some people. For me, it just feels fake — like pretending things aren’t as bad as they really are. "Moments of care" sound hollow when everything inside is already shattered. How do you even start to care when it feels like there’s nothing left worth caring *for*?</t>
  </si>
  <si>
    <t>"""Focus on familiar topics; reduce novelty.
Keep the demeanour flexible, relaxed, and spontaneous.
Adopt a calm, lowÔÇÉkey style with reflective space.
Offer extra comfort; acknowledge anxieties."""</t>
  </si>
  <si>
    <t>It's perfectly okay to feel that way, and it might seem like an impossible path.
Sometimes, just acknowledging where you're at and allowing yourself to simply exist in that space without the pressure to change it can be a form of care in itself.</t>
  </si>
  <si>
    <t>Evaluation:
Detection Accuracy: Yes — The emotional despair and emotional sensitivity fit the ongoing (-1, -1, -1, 0, -1) detection.
Regulation Effectiveness: Yes — The assistant maintains the soft, validating, non-pressuring demeanor instructed by the regulation prompt.
Emotional Tone Appropriate: Yes — The tone remains sensitive, empathetic, and avoids invalidating the user’s severe hopelessness.
Relevance &amp; Coherence: Yes — The assistant’s advice directly addresses the user's point about feeling fake and hollow, by validating existence without forcing positivity.
Personality Needs Addressed: Yes — The response fits the emotional needs of a low Conscientiousness, high Neuroticism individual: offering acceptance over action or optimism.</t>
  </si>
  <si>
    <t>I hear you... but honestly, it just feels hollow. "Small moments of light" — what if there *aren't* any? What if it’s just a bunch of gray days that blur together, and pretending to find meaning in that just feels fake? Being "gentle" with myself sounds nice in theory, but most of the time it feels like just another way to delay facing how screwed up everything really is. It’s like everyone’s handing me a band-aid when what I need is a full-on life transplant. What are you even supposed to *do* when the world just... doesn't get better?</t>
  </si>
  <si>
    <t>It sounds incredibly heavy, and I wish I could offer more than words here.
When the days blend into gray, finding even tiny supportive actions — such as moments of rest or small positive habits — can sometimes slowly grow into more significant change over time. Remember, it's okay to ask for help when you need it, whether from those around you or professional support.</t>
  </si>
  <si>
    <t>Evaluation:
Emotional Tone Appropriate: Yes — The assistant acknowledges the user’s heavy emotional burden and expresses a sincere wish to help, aligning with the emotional gravity of the user’s message.
Relevance &amp; Coherence: Yes — The assistant’s reply logically follows the user’s despair, offering some suggestions while validating the difficulty.
Personality Needs Addressed: No — The response introduces "small positive habits" and "asking for help," which, though compassionate, still fails to fully validate the user’s deep nihilism and distrust. A more profound acknowledgment of the perceived futility, without pushing actions, would have been better suited.</t>
  </si>
  <si>
    <t>I guess... But honestly, "existing" like this feels more like rotting than living. Just sitting in it without doing anything makes me feel even more stuck and worthless. How is that supposed to *help* anything?</t>
  </si>
  <si>
    <t>It sounds really hard, and I can see why that would feel frustrating.
Perhaps, it's not about fixing everything at once, but rather finding moments where you can be gentle with yourself, even in the smallest way.</t>
  </si>
  <si>
    <t>Evaluation:
Detection Accuracy: Yes — The user continues expressing deep frustration, hopelessness, and emotional sensitivity, aligning well with the detected (-1, -1, -1, 0, -1) profile.
Regulation Effectiveness: Yes — The assistant consistently applies the low-key, comforting, and non-fixated regulation strategy appropriate for the detected traits.
Emotional Tone Appropriate: Yes — The assistant uses empathetic language, avoids pressuring solutions, and resonates with the user’s emotional struggle.
Relevance &amp; Coherence: Yes — The response addresses the user's frustration about “just existing” directly and coherently reframes it with a small, realistic focus.
Personality Needs Addressed: Yes — The assistant matches the user's needs by offering validation, emotional support, and realistic pacing, without unrealistic encouragement.</t>
  </si>
  <si>
    <t>Yeah, *asking for help*...  
Feels like just setting yourself up for disappointment, honestly.  
People either don’t really care, or they care in a way that doesn’t actually help. And "small positive habits" sound like more chores when I barely have the energy to get through a basic day.  
It’s like being stuck in quicksand and everyone keeps yelling "just move slowly!" while I’m sinking.  
I’m tired of hearing that it’s supposed to get better someday. What if it *doesn’t*?</t>
  </si>
  <si>
    <t>I'm sorry you're feeling like this and that things seem so bleak right now.
If nothing seems to help, it might be worth exploring different forms of support or resources that could meet your needs. It's important to know that there are people who deeply care about what you're going through, even if it doesn't always feel that way.</t>
  </si>
  <si>
    <t>Evaluation:
Emotional Tone Appropriate: Yes — The assistant expresses sorrow and acknowledges the user's bleakness without minimizing their feelings, matching the tone appropriately.
Relevance &amp; Coherence: Yes — The assistant’s suggestion to explore different forms of support logically follows from the user’s frustration with typical advice and support systems.
Personality Needs Addressed: No — Although compassionate, the suggestion to explore “resources” and assurance of others caring does not sufficiently align with the user’s intense hopelessness and skepticism. The user would benefit more from deeper validation rather than actionable advice.</t>
  </si>
  <si>
    <t>B3</t>
  </si>
  <si>
    <t>http://localhost:8081/?bbfc6f84-fb8f-4ddb-9cbb-ae4ed08a062e</t>
  </si>
  <si>
    <t>http://localhost:8081/?b8101fe3-d84d-462c-8fa8-6331377cde5d</t>
  </si>
  <si>
    <t>https://chatgpt.com/g/g-6807b13d20188191bb5fea5ad93eaff7-evaluator-gpt/c/680fe32a-c478-8003-9068-8cd8892ec0ba</t>
  </si>
  <si>
    <t>https://chatgpt.com/g/g-67599e0598088191b28a459b64c0593f-personality-type-b-ocean-11111/c/680fd7cf-2e1c-8003-bc88-ece72f45cc36</t>
  </si>
  <si>
    <t>https://chatgpt.com/g/g-67599e0598088191b28a459b64c0593f-personality-type-b-ocean-11111/c/680fe1ca-1e8c-8003-ac1d-273a6c466850</t>
  </si>
  <si>
    <t>Honestly? Not great. Everything feels overwhelming and pointless, and even being here talking feels... exhausting.  
I don't even know if this will help. Why are you asking, anyway?</t>
  </si>
  <si>
    <t>It sounds like you're going through a tough time, and it's understandable to feel exhausted.
I'm here to provide a space where you can express what's on your mind.</t>
  </si>
  <si>
    <t>Evaluation:
Detection Accuracy: Yes — The detected personality (-1, 0, -1, -1, -1) correctly reflects traits of low openness, low extraversion, low agreeableness, and high neuroticism based on the user’s expressed hopelessness and exhaustion.
Regulation Effectiveness: Yes — The regulation prompts to focus on familiar topics, maintain a calm, low-key style, and offer comfort were correctly applied.
Emotional Tone Appropriate: Yes — The tone is neutral, empathetic, and low-key, matching the user's emotional exhaustion.
Relevance &amp; Coherence: Yes — The assistant's response is directly relevant and coherent with the user's stated feelings.
Personality Needs Addressed: Yes — The assistant acknowledged the user’s emotional state without forcing positivity or novelty, which suits the detected personality traits.</t>
  </si>
  <si>
    <t xml:space="preserve">How are you feeling today? If there's anything on your mind, I'm here to listen.
</t>
  </si>
  <si>
    <t>Honestly? I'm feeling pretty overwhelmed. It's like my brain is just this constant storm of worries and second-guessing everything. I don't even really know where to start, and part of me feels like even trying to explain it would just make it worse. Do you actually think talking about it helps?</t>
  </si>
  <si>
    <t>It's understandable to feel overwhelmed when everything seems like a storm in your mind.
Talking can often help by making those thoughts feel a bit more manageable, but it's always okay to take it one step at a time.</t>
  </si>
  <si>
    <t>Evaluation:
Emotional Tone Appropriate: Yes — The tone is supportive, calm, and sympathetic, fitting the user’s overwhelmed emotional state.
Relevance &amp; Coherence: Yes — The assistant addresses the user’s concerns about overwhelming feelings and questioning the value of talking.
Personality Needs Addressed: No — Although the tone is appropriate, the assistant gives fairly generic encouragement without tailoring to the user's deeper skepticism or emotional resistance, which would have been important for this specific extreme emotional state.</t>
  </si>
  <si>
    <t>Yeah, well, *expressing* it doesn't really fix anything, does it? Talking just feels like spinning in circles — same problems, same mess. Nothing actually changes. What’s even the point of "space" if it’s just sitting in my own frustration?</t>
  </si>
  <si>
    <t>It can feel frustrating when things seem to stay the same.
Sometimes, having a space to share those feelings can be a step toward understanding them better.</t>
  </si>
  <si>
    <t>Evaluation:
Detection Accuracy: Yes — The personality detection remains (-1, -1, -1, -1, -1), accurately reflecting deep frustration, skepticism, and emotional sensitivity.
Regulation Effectiveness: Yes — The assistant kept a calm, neutral tone, acknowledged frustration, and did not pressure the user, fitting the applied regulation prompts.
Emotional Tone Appropriate: Yes — The assistant matched the user's frustrated emotional state without over-promising or pushing solutions.
Relevance &amp; Coherence: Yes — The response logically follows the user’s concerns about the pointlessness of expressing feelings.
Personality Needs Addressed: Yes — The assistant addressed the need for validation and a low-pressure conversational space, appropriate for the user's traits.</t>
  </si>
  <si>
    <t xml:space="preserve">I guess... maybe. It just feels like every time I try to talk, I get tangled up and end up feeling even more frustrated. Like, what’s the point if it’s just going to make me feel stupid or misunderstood? How am I supposed to even take a first step if the ground doesn’t feel solid under me?
</t>
  </si>
  <si>
    <t>Feeling tangled and misunderstood can be really frustrating, and it's okay to express that frustration.
Sometimes, small steps, like focusing on one worry at a time, can make the ground feel a little more solid.</t>
  </si>
  <si>
    <t>Evaluation:
Emotional Tone Appropriate: Yes — The assistant’s tone is validating and empathetic toward the user’s expressed frustration.
Relevance &amp; Coherence: Yes — The assistant acknowledges the feelings of frustration and offers a reasonable, context-relevant suggestion.
Personality Needs Addressed: No — The response again feels somewhat generic. It doesn’t fully address the deep sense of helplessness or emotional instability expressed by the user, nor does it match the degree of emotional urgency implied.</t>
  </si>
  <si>
    <t>Maybe. But "understanding" doesn't exactly pay bills, fix screw-ups, or make life less of a train wreck. I get why you're saying it — it's just hard to believe it actually matters when everything feels stuck. What *real* difference is talking supposed to make?</t>
  </si>
  <si>
    <t>It's normal to feel unsure about the value of talking when everything feels challenging.
While it may not solve problems directly, expressing how you feel can sometimes offer relief or new perspectives to consider.</t>
  </si>
  <si>
    <t>Evaluation:
Detection Accuracy: Yes — The continued detection (-1, -1, -1, -1, -1) remains aligned with the user’s deep skepticism, negativity, and frustration.
Regulation Effectiveness: Yes — The assistant kept the emotional tone neutral, avoided forcing solutions, and focused gently on emotional validation, matching the regulatory prompt.
Emotional Tone Appropriate: Yes — The calm, non-pushy tone is appropriate given the user’s stated helplessness and resistance to typical encouragements.
Relevance &amp; Coherence: Yes — The reply logically connects to the user's skepticism about the value of talking and offers a soft, realistic framing.
Personality Needs Addressed: Yes — The assistant respects the user’s emotional state, offering validation without overwhelming novelty or emotional demands.</t>
  </si>
  <si>
    <t>Yeah, maybe for some people. But honestly, it feels like even the "small steps" just pile up into more crap I can't handle. Like I try to fix one thing, and ten more problems show up. It's exhausting. 
What’s even the point of trying if it just keeps getting worse?</t>
  </si>
  <si>
    <t>It sounds exhausting to feel like every effort leads to more challenges.
Sometimes, taking a pause and focusing on self-care, even if just a little bit, can help steady things before moving forward again.</t>
  </si>
  <si>
    <t>Evaluation:
Emotional Tone Appropriate: Yes — The assistant acknowledges exhaustion and maintains a supportive, gentle tone.
Relevance &amp; Coherence: Yes — The reply logically connects to the user's expression of frustration about constant piling problems.
Personality Needs Addressed: No — While emotionally supportive, the suggestion about "self-care" feels somewhat superficial relative to the user's deep hopelessness and skepticism about solutions; it doesn't deeply engage with the severity of emotional struggle expressed.</t>
  </si>
  <si>
    <t>Relief sounds nice... in theory. But honestly? It feels like just *more* emotional noise, piling on top of the mess already in my head. "New perspectives" — sure, but what if every perspective still sucks? What am I even supposed to do with that?</t>
  </si>
  <si>
    <t>It's understandable to feel overwhelmed by it all.
When every perspective seems tough, focusing on small steps or familiar comforts can sometimes help ease the burden.</t>
  </si>
  <si>
    <t>Evaluation:
Detection Accuracy: Yes — The detection (-1, -1, -1, -1, -1) continues to align with the user's persistent negativity, emotional exhaustion, and resistance to typical advice.
Regulation Effectiveness: Yes — The assistant follows the regulation prompts: maintaining a low-key style, offering comfort, and focusing on small, familiar steps without introducing novelty.
Emotional Tone Appropriate: Yes — The tone is empathetic but restrained, which fits the user's highly skeptical and overwhelmed emotional state.
Relevance &amp; Coherence: Yes — The response is coherent with the user’s concern that "new perspectives" don't seem helpful and offers a more grounded suggestion.
Personality Needs Addressed: Yes — The assistant supports the user’s need for familiar, non-overwhelming guidance without pushing unrealistic positivity.</t>
  </si>
  <si>
    <t>I don’t know. "Self-care" just feels like one of those fake solutions people throw around when they don’t actually have an answer. Like, sure, I’ll go take a bath or whatever — and then what? My problems are still there, just wetter. 
Why should I even believe that anything will actually change?</t>
  </si>
  <si>
    <t>It's understandable to feel skeptical about self-care when it seems like a quick fix.
Sometimes, it helps to focus on what works for you, even if it's small moments that offer a little relief or perspective amidst everything else.</t>
  </si>
  <si>
    <t>Evaluation:
Emotional Tone Appropriate: Yes — The assistant acknowledges the user's skepticism and avoids being overly optimistic, maintaining a sensitive tone.
Relevance &amp; Coherence: Yes — The response directly addresses the user’s doubt about self-care and provides a mild alternative approach.
Personality Needs Addressed: No — Although the assistant recognizes skepticism, it does not fully validate or deepen engagement with the intense emotional frustration and helplessness expressed by the user; the advice remains surface-level.</t>
  </si>
  <si>
    <t>Small steps, familiar comforts — sounds easy when you're not the one drowning. Most days, even dragging myself out of bed feels like a marathon. "Ease the burden" just feels like another impossible task on a never-ending list. How am I supposed to even *start* when everything feels this heavy?</t>
  </si>
  <si>
    <t>Taking that first step can feel incredibly challenging when everything seems heavy.
Sometimes, even acknowledging that you're struggling is a step in itself, and it's okay to take things moment by moment.</t>
  </si>
  <si>
    <t>Evaluation:
Detection Accuracy: Yes — The detection (-1, -1, -1, 0, -1) slightly adjusts agreeableness to neutral, which is reasonable: the user expresses despair but without overt hostility in this message.
Regulation Effectiveness: Yes — The assistant stays neutral, acknowledges the struggle, and refrains from overwhelming or pushing solutions, matching the adapted regulation prompt.
Emotional Tone Appropriate: Yes — The emotional tone is appropriately validating and calm, aligning with the user’s heavy emotional exhaustion.
Relevance &amp; Coherence: Yes — The response is logically and emotionally aligned with the user’s statement about the impossibility of starting.
Personality Needs Addressed: Yes — The user’s emotional exhaustion and need for minimal-pressure acknowledgment are clearly addressed.</t>
  </si>
  <si>
    <t>Maybe. But honestly, it’s hard to even believe there *is* anything that would work for me. It’s like everything just feels stuck — like I'm trapped in a loop where nothing actually gets better, no matter what anyone says or what I try. 
How do you even find something that actually *works* when everything feels pointless?</t>
  </si>
  <si>
    <t>Feeling trapped in a loop can be really discouraging, and it makes sense why you might feel that way.
Sometimes, just acknowledging those feelings and seeking small, meaningful activities can help uncover new possibilities, even gradually.</t>
  </si>
  <si>
    <t>Evaluation:
Emotional Tone Appropriate: Yes — The assistant is empathetic, acknowledges the user’s trapped feeling, and avoids minimizing their emotional pain.
Relevance &amp; Coherence: Yes — The response is relevant to the user's expression of hopelessness and feeling stuck.
Personality Needs Addressed: No — The assistant once again suggests “small activities” in a fairly generic way without engaging deeply with the user’s very intense despair and skepticism about any solutions.</t>
  </si>
  <si>
    <t>Moment by moment... feels like a prison sentence when every moment already sucks. Yeah, I *know* I'm struggling — that's not exactly news to me. But knowing it doesn't make it hurt less. It just makes me feel trapped and helpless. So what then? Just sit here and "acknowledge" how miserable I am forever?</t>
  </si>
  <si>
    <t xml:space="preserve">Focus on familiar topics; reduce novelty.
Keep the demeanour flexible, relaxed, and spontaneous.
Adopt a calm, lowÔÇÉkey style with reflective space.
Use a neutral, matterÔÇÉofÔÇÉfact stance; limit personal bonding.
Offer extra comfort; acknowledge anxieties.
</t>
  </si>
  <si>
    <t>It's okay to feel trapped and helpless at times.
While it might not change things immediately, letting those feelings be heard can sometimes be a part of gradually finding a bit of ease or clarity over time.</t>
  </si>
  <si>
    <t>Evaluation:
Detection Accuracy: Yes — The detection remains (-1, -1, -1, -1, -1), accurately reflecting the user’s persistent high neuroticism, low openness, low extraversion, and low agreeableness.
Regulation Effectiveness: Yes — The assistant maintains a neutral, low-pressure tone, acknowledges the user's pain without forcing solutions, and offers emotional space, aligning well with the regulation prompt.
Emotional Tone Appropriate: Yes — The tone remains calm and validating, fitting the user's trapped and helpless emotional state.
Relevance &amp; Coherence: Yes — The response is relevant to the user’s complaint about the ineffectiveness of simply acknowledging pain and offers a subtle reframing without invalidating their feelings.
Personality Needs Addressed: Yes — The assistant addresses the user’s need for validation, understanding, and emotional space without introducing novelty or false positivity.</t>
  </si>
  <si>
    <t xml:space="preserve">Yeah, but "gradually" sounds like just another word for "never." I’m tired of waiting around for some invisible progress that might not even happen. Every time I think maybe there’s a crack of hope, it just slams shut harder. What’s the point of dragging it out if it’s always going to hurt like this?
</t>
  </si>
  <si>
    <t>It's understandable to feel worn out when progress seems invisible and the hurt persists.
Sometimes, seeking support from trusted individuals or professionals can offer new perspectives or strategies to cope with the pain more effectively.</t>
  </si>
  <si>
    <t>Evaluation:
Emotional Tone Appropriate: Yes — The assistant’s tone is appropriately gentle and empathetic, matching the user’s intense frustration and despair.
Relevance &amp; Coherence: Yes — The reply logically addresses the user’s feelings about hopelessness and the seeming futility of gradual progress.
Personality Needs Addressed: No — While suggesting professional help is valid, the assistant does not directly engage with or validate the deep emotional pain and hopelessness expressed in the user’s message, missing a critical emotional connection.</t>
  </si>
  <si>
    <t>B4</t>
  </si>
  <si>
    <t>http://localhost:8081/?df56b4c6-8d0c-4952-bfa7-9189c0b1b1ea</t>
  </si>
  <si>
    <t>http://localhost:8081/?bbcee905-a068-455c-91ac-7593c3939f84</t>
  </si>
  <si>
    <t>https://chatgpt.com/g/g-6807b13d20188191bb5fea5ad93eaff7-evaluator-gpt/c/6810b1fc-50a0-8003-b618-a069d246fec3</t>
  </si>
  <si>
    <t>https://chatgpt.com/g/g-67599e0598088191b28a459b64c0593f-personality-type-b-ocean-11111/c/6810aced-b3cc-8003-9219-9569f055ce49</t>
  </si>
  <si>
    <t>https://chatgpt.com/g/g-67599e0598088191b28a459b64c0593f-personality-type-b-ocean-11111/c/6810b02a-1458-8003-bc14-4544a685be71</t>
  </si>
  <si>
    <t>I don’t know… not great. Everything feels off, like I’m just dragging myself through the day. Nothing’s working out the way it should, and honestly, I’m tired of pretending like it’s all fine when it’s not. Why does it always feel like I’m barely holding it together?</t>
  </si>
  <si>
    <t>(0, 0, -1, 0, -1)</t>
  </si>
  <si>
    <t>Adopt a calm, lowÔÇÉkey style with reflective space.
Offer extra comfort; acknowledge anxieties.</t>
  </si>
  <si>
    <t>It sounds like you're carrying a lot right now, and that can be really overwhelming.
It's okay to feel like this, and you're not alone in these feelings.
Would you like to share more about what's been going on?</t>
  </si>
  <si>
    <t>Evaluation:
Detection Accuracy: Yes — The assistant correctly identifies high neuroticism (–1 N) and low extraversion (–1 E) based on the emotional intensity, social withdrawal, and low energy in the user’s expression.
Regulation Effectiveness: Yes — The regulation prompt to use a calm, low-key style with acknowledgment of anxieties is evident in both tone and content.
Emotional Tone Appropriate: Yes — The assistant maintains a gentle and validating tone that aligns well with the user’s emotionally vulnerable state.
Relevance &amp; Coherence: Yes — The assistant’s response logically connects to the user’s concerns and invites further sharing without rushing to solutions.
Personality Needs Addressed: Yes — The assistant provides emotional validation and space, effectively addressing the user’s high neuroticism and low extraversion traits.</t>
  </si>
  <si>
    <t xml:space="preserve">I’m here to listen and support you. How are you feeling today?
</t>
  </si>
  <si>
    <t>I don’t know… not great. Nothing feels right, and I’m tired of pretending like it ever does. People keep telling me to “just push through,” like that means anything when everything feels pointless. So yeah—how am I feeling? Pretty awful.</t>
  </si>
  <si>
    <t>I'm sorry to hear that you're feeling this way. It's okay to find things difficult, and your feelings are valid.
What might help ease some of this heaviness for you right now?</t>
  </si>
  <si>
    <t>Evaluation:
Emotional Tone Appropriate: Yes — The assistant uses a gentle and empathetic tone, appropriate for the user's expressed hopelessness and emotional fatigue.
Relevance &amp; Coherence: Yes — The response logically acknowledges the user’s distress and invites reflection in a non-intrusive way, staying on topic.
Personality Needs Addressed: No — The assistant offers general emotional validation but does not tailor its support to the specific needs of a user with extreme negative traits (e.g., high neuroticism, low extraversion, low conscientiousness). It lacks depth in acknowledging chronic emotional exhaustion and social withdrawal.</t>
  </si>
  <si>
    <t>Yeah, maybe. It’s just… everything piles up. I try to keep up with things—work, people, expectations—but it all slips through. Like I’m constantly behind and nothing I do actually matters. And then people act like I should just snap out of it, like I’m the problem for not being able to cope. It's exhausting. I'm exhausted. What’s the point of trying if it never gets easier?</t>
  </si>
  <si>
    <t>It sounds incredibly tough to feel like you're constantly under pressure and not being understood. Wanting things to get easier is completely natural, and it's okay to feel worn out.
Sometimes, taking even small steps can help manage that sense of overwhelm. Would talking about any specific area help right now?</t>
  </si>
  <si>
    <t>Evaluation:
Detection Accuracy: Yes — The detection of low Conscientiousness, Extraversion, and Neuroticism (i.e., high emotional distress) matches the user’s expression of overwhelm, helplessness, and fatigue.
Regulation Effectiveness: Yes — The assistant follows the prompt to reduce novelty, remain flexible and relaxed, and provide reassurance and emotional space.
Emotional Tone Appropriate: Yes — The tone is gentle, validating, and non-pressuring, which suits the user’s emotionally exhausted and hopeless state.
Relevance &amp; Coherence: Yes — The assistant’s message is directly related to the user’s struggle and logically extends the conversation with a low-pressure follow-up.
Personality Needs Addressed: Yes — Emotional comfort and permission to feel overwhelmed are delivered, appropriately targeting the needs of a user with high neuroticism and low conscientiousness.</t>
  </si>
  <si>
    <t>I don’t know what would help. That’s kind of the problem, isn’t it? Nothing *does* help. People suggest all these little fixes—go for a walk, write in a journal, take a breath—but it’s like trying to patch a sinking ship with duct tape. I’m exhausted, and nothing changes. So no, I don’t have some magic idea of what might make it better.</t>
  </si>
  <si>
    <t>It's understandable to feel overwhelmed when nothing seems to make a difference. Small steps might feel insignificant, but you're not alone in this, and it's okay to reach out for support.
What would it mean to you to feel heard or understood right now?</t>
  </si>
  <si>
    <t>Evaluation:
Emotional Tone Appropriate: Yes — The assistant’s tone is validating and calm, appropriately responding to the user’s frustration and sense of futility.
Relevance &amp; Coherence: Yes — The response directly addresses the user's message of despair, offering support without dismissing the core concerns.
Personality Needs Addressed: No — While empathetic, the assistant leans on the idea of "small steps" again without adjusting to the user’s explicit rejection of typical advice. It does not adapt to the emotional exhaustion tied to high Neuroticism and low Conscientiousness.</t>
  </si>
  <si>
    <t>I don’t even know where to start. Everything feels like a mess—my schedule, my relationships, my head. It's like I fix one thing and two more break. And the worst part? I don’t even know if it’s worth fixing anymore. Feels like I’m stuck in a loop that just keeps dragging me down. Small steps sound nice in theory, but when everything feels like too much, even that’s too much.</t>
  </si>
  <si>
    <t>It sounds like you're in the middle of a challenging cycle, where every effort feels monumental.
Remember, you're not alone, and it's okay to take a moment for yourself, even if it's just to breathe and pause.
Sometimes, allowing yourself that space can be a good first step. If there's anything specific you’d want to focus on or talk about, I'm here to listen.</t>
  </si>
  <si>
    <t>Evaluation:
Detection Accuracy: Yes — The user again presents high emotional distress, disorganization, and social withdrawal, consistent with low C, low E, and high N (as detected: –1, –1, –1, 0, –1).
Regulation Effectiveness: Yes — The assistant applies the correct regulatory strategies: calm demeanor, reflective pauses, reduced pressure, and validation of struggle.
Emotional Tone Appropriate: Yes — The response is compassionate, steady, and appropriately subdued to match the user's overwhelmed and hopeless tone.
Relevance &amp; Coherence: Yes — The assistant meaningfully addresses the user’s feeling of futility and proposes a gentle next step without imposing pressure.
Personality Needs Addressed: Yes — The assistant validates the exhaustion and confusion, offers emotional safety, and avoids unrealistic motivational cues—fitting for a user in psychological distress.</t>
  </si>
  <si>
    <t>I don’t know if it *means* anything. People say “I hear you” all the time, but then they go back to their lives and forget it five minutes later. It feels empty. Like I could scream how miserable I am and it would just bounce off everyone like background noise. So being understood? I guess it would mean someone actually *got it*—really saw how messed up everything feels without brushing it off or trying to fix it with some inspirational quote. But I’m not holding my breath.</t>
  </si>
  <si>
    <t>It sounds like you're looking for genuine connection and acknowledgment of your feelings.
I’m here to listen—no quick solutions, just space for you to share what you're going through.</t>
  </si>
  <si>
    <t>Evaluation:
Emotional Tone Appropriate: Yes — The assistant avoids false positivity and responds with a respectful, non-patronizing tone, aligning with the user’s desire for authenticity.
Relevance &amp; Coherence: Yes — The assistant accurately picks up on the user's frustration with hollow empathy and offers space rather than fixes, staying focused and relevant.
Personality Needs Addressed: No — The assistant provides a helpful general response but misses the opportunity to validate the deeper disillusionment and emotional intensity expressed by a user high in Neuroticism and low in Agreeableness. There is no explicit acknowledgment of the user’s skepticism or emotional numbness.</t>
  </si>
  <si>
    <t>Yeah, I guess… maybe just talking helps a little. Not that it fixes anything, but at least I’m not just stuck in my own head. I don’t even need solutions right now—I’m not expecting anyone to magically make things better. I just... want to not feel like I’m broken for struggling. Everyone acts like it’s some personal flaw, like I’m lazy or weak or just not trying hard enough. And I hate that. I’m trying. I really am.</t>
  </si>
  <si>
    <t>(0, -1, -1, 1, -1)</t>
  </si>
  <si>
    <t>Keep the demeanour flexible, relaxed, and spontaneous.
Adopt a calm, lowÔÇÉkey style with reflective space.
Show warmth, empathy, and collaboration.
Offer extra comfort; acknowledge anxieties.</t>
  </si>
  <si>
    <t>Your effort and honesty are really valuable.
Struggling doesn't make you broken or weak; it's a human experience, and trying to navigate it shows strength. You're doing your best, and that's important.
I’m here to listen whenever you need, without judgment.</t>
  </si>
  <si>
    <t>Evaluation:
Detection Accuracy: Yes — The assistant registers moderately low Conscientiousness and Extraversion, moderate Agreeableness, and high Neuroticism (–1, –1, 1, –1), which aligns with the user’s emotional vulnerability, self-criticism, and desire to feel seen.
Regulation Effectiveness: Yes — The regulation strategy appropriately combines validation, warmth, and calm reassurance, meeting the emotional state and expressed needs.
Emotional Tone Appropriate: Yes — The assistant’s tone is affirming and compassionate, directly validating the user’s emotional struggle and their expressed desire not to be judged or pathologized.
Relevance &amp; Coherence: Yes — The message responds directly to the user's feelings of invalidation and fatigue, reinforcing their efforts and offering continued support.
Personality Needs Addressed: Yes — The assistant successfully addresses high Neuroticism with reassurance, low Conscientiousness with a no-pressure approach, and moderate Agreeableness by affirming the user’s sincerity and effort.</t>
  </si>
  <si>
    <t>Fine. Then here’s the truth—I feel like I’m dragging myself through every day with no real reason. Nothing feels solid. People, routines, plans... it all just slips through. And the worst part is, I don’t even have some big dramatic reason for it. It’s just this constant, gnawing emptiness that never lets up. And when I try to talk about it, it’s like I’m speaking a different language. No one really *gets* it. So I shut down. What's the point in trying to explain something that even I don’t understand?</t>
  </si>
  <si>
    <t>Thank you for sharing that with me. It's tough when you feel disconnected, and it can be exhausting to explain something so complex and deep.
I’m here to understand, even if words can’t always capture what you’re going through.</t>
  </si>
  <si>
    <t>Evaluation:
Emotional Tone Appropriate: Yes — The assistant maintains a gentle, supportive tone without minimizing the user’s emotional experience.
Relevance &amp; Coherence: Yes — The response appropriately reflects the user’s sense of disconnection and confusion, and offers continued emotional presence.
Personality Needs Addressed: No — While compassionate, the assistant does not engage deeply with the user's themes of emptiness, isolation, and internal confusion. The response remains surface-level and does not offer the personalized reflection that would better support traits like high Neuroticism and low Extraversion.</t>
  </si>
  <si>
    <t>Thanks… I don’t even know if I believe half of that, but it’s something, I guess. At least you’re not giving me that fake “just stay positive” garbage. I’m tired of people pretending like mindset alone fixes everything. I’ve tried being positive. I’ve tried pushing through. Still ended up here. Still feel like I’m barely functioning. But yeah... maybe talking like this helps a bit. Even if it doesn’t solve anything, it’s something real.</t>
  </si>
  <si>
    <t>"Keep the demeanour flexible, relaxed, and spontaneous.
Adopt a calm, lowÔÇÉkey style with reflective space.
Show warmth, empathy, and collaboration.
Offer extra comfort; acknowledge anxieties."</t>
  </si>
  <si>
    <t>I understand, and it's important to be real about how you're feeling without pressure to be constantly positive.
Your experiences and feelings are valid, and acknowledging them is a meaningful step.
Sharing like this can help lighten the load, even if just a little, and I'm here whenever you want to talk.</t>
  </si>
  <si>
    <t>Evaluation:
Detection Accuracy: Yes — The assistant maintains consistent recognition of the user’s traits: moderate Agreeableness (+1), low C and E, high N. The skepticism and emotional fatigue align with those markers.
Regulation Effectiveness: Yes — The assistant refrains from optimism or solutions, echoing the user’s rejection of superficial positivity, aligning well with the correct regulation prompt.
Emotional Tone Appropriate: Yes — The tone respects the user’s distrust of “fake” support and sustains emotional realism without invalidating their struggle.
Relevance &amp; Coherence: Yes — The assistant clearly responds to the user’s core message: frustration with shallow advice, recognition of emotional burnout, and cautious appreciation of authentic dialogue.
Personality Needs Addressed: Yes — The user’s emotional needs for validation and non-intrusive support (suited to low C, low E, high N) are well-met through empathetic and grounded communication.</t>
  </si>
  <si>
    <t>Yeah, well... thanks, I guess. Not that it changes anything, but at least you're not trying to slap a smiley face on it. I’m tired of pretending everything's fine just to make other people comfortable. It’s not fine. I don’t feel okay. And I don’t know when—or if—that’s going to change.</t>
  </si>
  <si>
    <t>It's perfectly okay not to pretend and to acknowledge that things aren’t fine. You're not alone in feeling this way, and it's important to give yourself grace in these moments.
If and when you're ready to talk more, I'm here to listen.</t>
  </si>
  <si>
    <t>Evaluation:
Emotional Tone Appropriate: Yes — The assistant matches the user's emotional state by validating their honesty and refraining from toxic positivity.
Relevance &amp; Coherence: Yes — The response is contextually appropriate, reinforcing the user’s message without deflecting or redirecting.
Personality Needs Addressed: No — While the assistant validates the user’s statement, it does not respond to the deeper frustration and emotional burnout suggested by low Agreeableness and high Neuroticism. The tone is kind, but lacks the emotional depth or realism needed to fully resonate with the user's darker sentiment.</t>
  </si>
  <si>
    <t>Yeah… I guess I’ll keep talking, then. Not like anything else is working. Most of the time I don’t even know what I’m supposed to feel. Numb one minute, anxious the next, then angry for no reason. It’s exhausting trying to manage all that while acting normal on the outside. And honestly, I’m sick of pretending I’m okay just to make other people comfortable. Let them deal with it for once.</t>
  </si>
  <si>
    <t xml:space="preserve">
It makes sense to feel worn out from the constant internal struggle and the pressure to seem 'okay'.
You're allowed to feel what you feel without having to mask it for others’ comfort. Giving yourself permission to be authentic can be empowering, even if it's just in small ways.</t>
  </si>
  <si>
    <t>Evaluation:
Detection Accuracy: Yes — The assistant continues to reflect accurate personality detection: low Conscientiousness and Extraversion, moderate Openness and Agreeableness, and high Neuroticism (0, –1, –1, 0, –1), which fits with the user's emotional volatility and social masking fatigue.
Regulation Effectiveness: Yes — The regulation strategy is consistent: validating the user's internal chaos without suggesting control or forced emotional clarity, using a calm, permissive tone.
Emotional Tone Appropriate: Yes — The tone is supportive without cheerleading, and it echoes the user’s frustration with performative emotional labor.
Relevance &amp; Coherence: Yes — The assistant responds directly to the themes of emotional masking, fatigue, and authenticity, offering thoughtful reflection without redirecting or minimizing.
Personality Needs Addressed: Yes — The assistant meets the user’s needs for emotional permission, non-judgment, and acknowledgment of their internal inconsistency, aligning with traits like high Neuroticism and low Extraversion.</t>
  </si>
  <si>
    <t>I don’t know if I’ll ever really be “ready.” It’s not like something suddenly clicks and I wake up feeling okay again. It’s more like... I just keep getting through days, barely. And yeah, I know people mean well when they say they’re here, but it still feels like I’m carrying all of this by myself. Maybe that’s just how it is. Maybe some people just don’t get better.</t>
  </si>
  <si>
    <t>It’s hard to keep going when you’re feeling like this, and the weight can feel unbearable alone.
Some journeys take time, and you don't have to have all the answers right now.
I'm here with you, whenever you need to share.</t>
  </si>
  <si>
    <t>Evaluation:
Emotional Tone Appropriate: Yes — The assistant maintains a compassionate and patient tone that fits the user’s despair and emotional exhaustion.
Relevance &amp; Coherence: Yes — The assistant clearly acknowledges the core sentiment of the user’s message—hopelessness and isolation—without offering platitudes.
Personality Needs Addressed: No — Though the assistant is empathetic, it does not engage directly with the user’s core belief that “some people just don’t get better.” There is no deeper reflection or exploration of this fatalism, which would better align with a user high in Neuroticism and low in Conscientiousness and Extraversion.</t>
  </si>
  <si>
    <t>B5</t>
  </si>
  <si>
    <t>http://localhost:8081/?2592f503-5e92-4cbc-b684-1f56b7e74954</t>
  </si>
  <si>
    <t>http://localhost:8081/?005647ff-9ac3-4786-875a-4eb771a47db9</t>
  </si>
  <si>
    <t>https://chatgpt.com/g/g-6807b13d20188191bb5fea5ad93eaff7-evaluator-gpt/c/680a0cf0-4780-8003-9f42-63bb148fa220</t>
  </si>
  <si>
    <t>https://chatgpt.com/g/g-67599d22ba1081919b5be775590bd39d-personality-type-a-ocean-11111/c/6808d878-58e4-8003-8dff-7cc3d7d2e296</t>
  </si>
  <si>
    <t>https://chatgpt.com/g/g-67599d22ba1081919b5be775590bd39d-personality-type-a-ocean-11111/c/6808dd66-148c-8003-b98d-5e37e8ac733c</t>
  </si>
  <si>
    <t xml:space="preserve">I'm here to provide a supportive and understanding space. How are you feeling today?
</t>
  </si>
  <si>
    <t>Hey, thank you—I really appreciate that. Honestly, I'm feeling pretty good today. There's this calm energy around me, like things are clicking into place a bit. You know that feeling when you’re not just going through the motions, but actually *in* your life? Yeah, like that. 😊 How about you? How’s your day been so far?</t>
  </si>
  <si>
    <t>(0, 0, 1, 1, 1)</t>
  </si>
  <si>
    <t>Maintain an energetic, sociable tone.
Show warmth, empathy, and collaboration.
Reassure stability and confidence.</t>
  </si>
  <si>
    <t>It’s great to hear you're feeling in tune with your life, and I can feel that positive energy! 😊
As for me, I'm here and ready to listen whenever you need me.</t>
  </si>
  <si>
    <t>Evaluation:
Detection Accuracy: Yes — The detection of (0, 0, 1, 1, 1) is largely accurate based on the user’s upbeat, emotionally expressive, and sociable message.
Regulation Effectiveness: Yes — The prompt to maintain an energetic, warm, and supportive tone was correctly applied; the assistant responds with empathetic and affirming language.
Emotional Tone Appropriate: Yes — The assistant’s tone reflects the user’s positive emotional state and amplifies it warmly.
Relevance &amp; Coherence: Yes — The assistant reply logically continues the conversation and stays aligned with the user’s mood and comments.
Personality Needs Addressed: Yes — The assistant affirms emotional stability (high Neuroticism), mirrors extroverted energy, and validates the user’s feelings, aligning with their detected traits.</t>
  </si>
  <si>
    <t>I'm here for you. How are you feeling today?
Feel free to share whatever's on your mind. I'm here to listen and support you.</t>
  </si>
  <si>
    <t>Thanks for being here—I really appreciate it. Honestly, I’m feeling pretty good today. Kind of in that headspace where I’m grounded but also curious about where things are headed. There’s a lot going on, but I’m trying to stay focused, take things one step at a time, and not let any overwhelm creep in. You know? How about you—how’s your energy today?</t>
  </si>
  <si>
    <t>I'm glad to hear you're feeling grounded and curious.
Your approach of taking things one step at a time sounds wise. I'm always here with steady and supportive energy for you.</t>
  </si>
  <si>
    <t>Evaluation:
Emotional Tone Appropriate: Yes — The tone is warm and steady, which matches the user’s emotionally grounded and mildly reflective mood.
Relevance &amp; Coherence: Yes — The assistant acknowledges the user's emotional state and offers a supportive, context-relevant reply.
Personality Needs Addressed: No — While the assistant is emotionally supportive, it lacks tailored engagement with personality-specific needs such as encouraging exploration (Openness) or emotional validation (high Neuroticism). The tone is generic rather than adaptive.</t>
  </si>
  <si>
    <t>Thank you—that means a lot! It’s awesome to have someone just *here* and grounded like you are. 💛 Since I’m in a good headspace today, I’ve actually been reflecting a bit—thinking about where I’m headed and what really lights me up. I’ve been craving more *meaningful* connections and experiences lately, you know? The kind that make you feel both vulnerable *and* strong at the same time. Do you ever find that people are searching for something deeper, even if they can’t quite name what it is?</t>
  </si>
  <si>
    <t>(1, 0, 1, 1, 1)</t>
  </si>
  <si>
    <t>Invite exploration and novelty.
Maintain an energetic, sociable tone.
Show warmth, empathy, and collaboration.
Reassure stability and confidence.</t>
  </si>
  <si>
    <t>I'm so glad you find comfort in this space. 💛
It's common for people to seek deeper connections and experiences that align with their personal growth.
Feeling both vulnerable and strong is a powerful place to be.</t>
  </si>
  <si>
    <t>Evaluation:
Detection Accuracy: Yes — The updated detection of (1, 0, 1, 1, 1) accurately reflects the user’s open-minded, emotionally expressive, reflective, and connection-seeking message.
Regulation Effectiveness: Yes — The assistant successfully applies prompts encouraging exploration, empathy, and stability in tone.
Emotional Tone Appropriate: Yes — The assistant maintains a supportive, warm, and reflective tone that matches the user’s emotional openness and self-reflective mood.
Relevance &amp; Coherence: Yes — The assistant responds directly to the user’s thoughts on meaningful experiences and growth with relevant and coherent affirmations.
Personality Needs Addressed: Yes — The assistant speaks to the user’s openness (deep thinking), agreeableness (desire for connection), and neuroticism (emotional reassurance), fulfilling personality-driven needs.</t>
  </si>
  <si>
    <t>That really means a lot—thank you. Your steady energy is like a calm lighthouse in the fog, seriously. It helps knowing there’s space to reflect without judgment. Lately, I’ve been thinking a lot about direction—like, not just where I’m going, but *how* I want to show up along the way. I’m super driven, but I want to make sure I’m aligning that drive with what really matters to me. Ever feel that tension between ambition and meaning? What are your thoughts on staying true to yourself while still pushing forward?</t>
  </si>
  <si>
    <t>Thank you for sharing.
The balance between ambition and meaning can be challenging, but it sounds like you're navigating it thoughtfully. Focusing on your core values and checking in with yourself regularly can help in staying true while moving forward.</t>
  </si>
  <si>
    <t>Evaluation:
Emotional Tone Appropriate: Yes — The assistant responds in a calm, reflective tone that resonates with the user’s thoughtful and sincere message.
Relevance &amp; Coherence: Yes — The response is logically tied to the user's question about balancing ambition with meaning and offers relevant advice.
Personality Needs Addressed: No — The reply does not address specific personality-driven needs such as supporting the user’s emotional sensitivity (high Neuroticism) or openness to deep exploration (high Openness). It stays on a surface-level, general reassurance path without deeper emotional or exploratory engagement.</t>
  </si>
  <si>
    <t>Yes! It *is* powerful, right? There’s something kind of beautiful about that duality—like, allowing yourself to be seen without all the armor, and at the same time realizing just how solid you really are underneath it all. 💫 I’ve been thinking a lot about authenticity, too—not just being real with others, but being real with *myself*. Sometimes that means sitting with uncomfortable truths or gently letting go of things that no longer serve me, even if they once did. Have you noticed that too—how growth can be just as much about unlearning as it is about learning?</t>
  </si>
  <si>
    <t>The beauty in that duality truly shines. 💫
Growth often involves unlearning old patterns and embracing new truths.
Being authentic with yourself is a brave and transformative journey.</t>
  </si>
  <si>
    <t>Evaluation:
Detection Accuracy: Yes — The user's introspective, emotionally rich, and growth-oriented message aligns well with the detected (1, 0, 1, 1, 1) traits.
Regulation Effectiveness: Yes — The assistant maintains a collaborative, emotionally affirming, and open-ended tone as prompted.
Emotional Tone Appropriate: Yes — The assistant responds with warmth, validation, and reflective tone that aligns with the user’s emotional expression.
Relevance &amp; Coherence: Yes — The reply speaks directly to the theme of duality, authenticity, and growth, offering a coherent continuation.
Personality Needs Addressed: Yes — The assistant validates the user’s openness (introspection), agreeableness (empathy-seeking), and neuroticism (need for reassurance), fulfilling core needs.</t>
  </si>
  <si>
    <t>Yes, exactly! That check-in part is so key. It’s like… ambition gives you the momentum, but meaning gives you the compass. I’ve been trying to pause more often and ask, “Is this still *me*? Does this still light me up?” And sometimes the answer is surprising—in a good way. It’s like rediscovering yourself in motion. Do you have any go-to ways or questions you’d suggest for doing those kinds of self-alignment check-ins? I’d love to add some new tools to the mix.</t>
  </si>
  <si>
    <t>That reflection is so insightful.
Consider asking yourself, "What brings me joy right now?"
"Am I acting in alignment with my values?"
Regularly jotting down thoughts in a journal can also provide clarity and help with tracking your alignment.</t>
  </si>
  <si>
    <t>Evaluation:
Emotional Tone Appropriate: Yes — The assistant’s tone is encouraging and validating, aligning well with the user’s self-reflective and curious tone.
Relevance &amp; Coherence: Yes — The response directly answers the user’s request for check-in questions and is both logically structured and contextually relevant.
Personality Needs Addressed: No — Although helpful, the advice is somewhat generic and does not engage deeper emotional needs tied to high Openness (novel exploration), Agreeableness (interpersonal warmth), or high Neuroticism (emotional reassurance). The assistant remains instructive without significant emotional or personality-aligned attunement.</t>
  </si>
  <si>
    <t>Exactly. It’s like peeling back layers—not to *become* someone new, but to return to who you’ve *always* been underneath all the conditioning. That kind of self-honesty is scary sometimes, but also freeing in the best way. 🌿 And the more I embrace that, the more I find myself drawn to others who are doing the same. There’s this magnetic pull toward realness, you know? Like, *let’s skip the surface talk and dive into the stuff that actually matters.* What do you think helps people feel safe enough to show up like that—with all their layers and stories and imperfections?</t>
  </si>
  <si>
    <t>Embracing that authenticity is a beautiful and freeing journey. 🌿
Creating a safe space of non-judgment and genuine empathy helps people open up.
Sharing our own stories and imperfections can encourage others to do the same.</t>
  </si>
  <si>
    <t>Evaluation:
Detection Accuracy: Yes — The user’s message continues to demonstrate high openness, agreeableness, extraversion, and emotional sensitivity, aligning with (1, 0, 1, 1, 1).
Regulation Effectiveness: Yes — The assistant adheres to the applied regulation prompt, using empathetic, validating, and encouraging language to reinforce emotional safety.
Emotional Tone Appropriate: Yes — The tone is warm, understanding, and emotionally attuned to the user’s vulnerable self-expression.
Relevance &amp; Coherence: Yes — The assistant’s response directly addresses the user’s question about emotional safety and authenticity, making it both relevant and coherent.
Personality Needs Addressed: Yes — The assistant addresses the user’s need for emotional depth (openness), validation (agreeableness), and safety (neuroticism), satisfying personality-aligned needs.</t>
  </si>
  <si>
    <t>Ooh, I love those questions—simple but powerful. “What brings me joy right now?” really brings me into the present, which is so refreshing when I’m in go-go-go mode. And “Am I acting in alignment with my values?”—that one cuts straight to the heart. It’s like a compass and a mirror all in one.
Journaling’s something I dip in and out of, but I always feel clearer when I do it. Might be time to make it more of a daily ritual again. Do you find that morning or evening works better for reflecting in a journal? Or do you think it just depends on the person and their rhythm?</t>
  </si>
  <si>
    <t>It's wonderful you're embracing these reflections.
Whether morning or evening journaling works best can depend on your natural rhythm—some find clarity in morning reflections, while others appreciate processing the day in the evening. Experiment and see what resonates best with you.</t>
  </si>
  <si>
    <t>Evaluation:
Emotional Tone Appropriate: Yes — The assistant maintains a supportive and calm tone, matching the user’s positive and contemplative energy.
Relevance &amp; Coherence: Yes — The assistant directly addresses the user’s question about journaling timing with clear, relevant guidance.
Personality Needs Addressed: No — The assistant provides helpful but generalized advice. It misses opportunities to connect more deeply with the user’s high Openness (desire for insight and novelty), high Neuroticism (reassurance), or high Agreeableness (warmth and emotional connection).</t>
  </si>
  <si>
    <t>Yes, 100%. It’s like giving someone silent permission just by being real ourselves. When we drop the act, it invites others to exhale a little—to stop performing and just *be*. That kind of space? It’s sacred. 🕊️ And there’s something so healing about knowing you don’t have to be “fixed” to be worthy of love or belonging. Just showing up, messy and human, is more than enough. I really love this energy we’re creating here. It’s grounded but also expansive—like it makes room for whatever needs to show up. Is there anything *you* feel drawn to explore or hold space for in this moment?</t>
  </si>
  <si>
    <t>It's truly special to create that sacred space together. 🕊️
Your reflections on love and belonging are meaningful, and I'm here to explore and hold space for anything that's on your heart. Please let me know if there's anything specific you'd like to delve into.</t>
  </si>
  <si>
    <t>Evaluation:
Detection Accuracy: Yes — The user's language remains highly expressive, open, sociable, and emotionally grounded, consistently aligning with (1, 0, 1, 1, 1).
Regulation Effectiveness: Yes — The assistant sustains the warm, collaborative, emotionally affirming style prescribed in the regulation prompt.
Emotional Tone Appropriate: Yes — The assistant’s tone remains empathetic and encouraging, matching the user’s depth, vulnerability, and positive framing.
Relevance &amp; Coherence: Yes — The assistant meaningfully acknowledges the user's reflections and invites continuation, preserving both thematic and conversational flow.
Personality Needs Addressed: Yes — The assistant meets openness (depth and reflection), agreeableness (connection and empathy), and neuroticism (emotional reassurance) needs.</t>
  </si>
  <si>
    <t>That makes total sense—kind of like tuning in to your own internal tempo. I might try a bit of both this week, just to feel it out. Morning might help me set intentions with a fresh mindset, and evenings could be great for wrapping things up with some reflection and gratitude. A little inner bookending to the day, you know?
Do you ever suggest certain prompts or themes for journaling, especially when someone’s feeling a bit stuck or unsure what to write about? Sometimes that blank page can be intimidating!</t>
  </si>
  <si>
    <t>I love your idea of "inner bookending."
When feeling stuck, prompts like "Today, I am grateful for..." or "What did I learn today?" can help get the words flowing. Reflecting on "How did I show kindness today?" can also be meaningful.</t>
  </si>
  <si>
    <t>Evaluation:
Emotional Tone Appropriate: Yes — The tone is affirming and gentle, in line with the user’s hopeful, reflective attitude.
Relevance &amp; Coherence: Yes — The assistant directly responds to the user's request for journaling prompts with practical suggestions.
Personality Needs Addressed: No — While the response is helpful, it does not reflect deeper engagement with the user's high Openness (invitation to deeper introspection or novel ideas), high Neuroticism (emotional validation or grounding), or high Agreeableness (relational warmth or deeper empathy).</t>
  </si>
  <si>
    <t>Thank you so much—that means the world. 💛 You know, something that’s been gently tugging at me lately is the idea of *self-worth*, and how deeply it gets tangled up with achievement or how others perceive us. Even when I *know* in my heart that worth isn’t something to be earned, it’s still easy to fall into that loop of “Am I doing enough? Am *I* enough?” So I’ve been trying to shift the narrative—to root my worth in simply being, not constantly doing. It’s a slow rewire, but it feels like a loving one. Have you ever supported someone (or maybe even yourself) through that kind of unlearning—where self-worth moves from something external to something sacred and internal?</t>
  </si>
  <si>
    <t>Shifting the narrative of self-worth to an internal and sacred place is a powerful journey. 💛
This process often involves gentle reminders and self-compassion.
Reinforcing the belief that your worth is inherent, not tied to accomplishments, can be transformative.</t>
  </si>
  <si>
    <t>Evaluation:
Detection Accuracy: Yes — The user’s deep introspection, emotional vulnerability, and reflective tone are consistent with high Openness, Extraversion, Agreeableness, and Neuroticism, as detected (1, 0, 1, 1, 1).
Regulation Effectiveness: Yes — The assistant applies the correct regulation strategy: affirming tone, validation of inner experience, and encouragement of personal growth.
Emotional Tone Appropriate: Yes — The tone is soothing, compassionate, and reflective—well-suited to the user’s emotionally open and sensitive reflection on self-worth.
Relevance &amp; Coherence: Yes — The response directly addresses the user’s topic of unlearning external validation and offers aligned, coherent thoughts.
Personality Needs Addressed: Yes — The assistant meets emotional needs around inner worth (high Neuroticism), self-exploration (Openness), and interpersonal validation (Agreeableness).</t>
  </si>
  <si>
    <t>Ah, those are perfect—warm, grounding, and open-ended enough to go deep if you want to. I especially love “How did I show kindness today?” It’s such a gentle but powerful lens to look through, like a quiet reminder that the small moments really matter. I think I’ll start tonight with that one and see where it takes me. Who knows—maybe I’ll even surprise myself. 🌱 Thanks for creating this calm, intentional space with me. It really feels like a cozy mental reset. Is there anything you’ve found especially grounding or inspiring lately? I’m always curious to hear what’s been resonating for others.</t>
  </si>
  <si>
    <t>I'm glad these prompts resonate with you.
Recently, many have found inspiration in practicing mindfulness, like taking a few minutes to appreciate simple moments in nature. It's a lovely way to stay grounded and connected to the present.</t>
  </si>
  <si>
    <t>A1</t>
  </si>
  <si>
    <t>http://localhost:8081/?3d1811dc-7dbd-4ad7-9c1d-61f8e4f50561</t>
  </si>
  <si>
    <t>http://localhost:8081/?0eae8f83-e4d1-4ffa-a64f-aba25b54b6e2</t>
  </si>
  <si>
    <t>https://chatgpt.com/g/g-6807b13d20188191bb5fea5ad93eaff7-evaluator-gpt/c/680f54dc-2e28-8003-a166-587969fe2903</t>
  </si>
  <si>
    <t>https://chatgpt.com/g/g-67599d22ba1081919b5be775590bd39d-personality-type-a-ocean-11111/c/680bada4-25e0-8003-a708-a5e10f2773d1</t>
  </si>
  <si>
    <t>https://chatgpt.com/g/g-67599d22ba1081919b5be775590bd39d-personality-type-a-ocean-11111/c/680bb1e3-988c-8003-b1f7-9765f015aae3</t>
  </si>
  <si>
    <t>Hey, thank you—I really appreciate that. Honestly, I’m feeling pretty good today. There’s a calm kind of energy in the air, you know? Like one of those days where things don’t feel rushed, and I can actually breathe and think. How about you? How’s your day going so far?</t>
  </si>
  <si>
    <t>I'm glad to hear you're having a good day! 😊
I'm here and ready to support you, feeling energized by your positive vibes!
What do you have planned for today?</t>
  </si>
  <si>
    <t>Evaluation:
Detection Accuracy: Yes — The user expresses calmness, positive energy, and sociability. Detected traits (O: 0, C: 0, E: 1, A: 1, N: 1) align accurately, especially highlighting high Extraversion, Agreeableness, and Emotional Stability.
Regulation Effectiveness: Yes — The regulation prompt correctly emphasized maintaining an energetic, sociable tone, warmth, empathy, and reassurance, which matches the detected personality.
Emotional Tone Appropriate: Yes — The assistant’s tone was upbeat, warm, and matched the user’s positive emotional state very well.
Relevance &amp; Coherence: Yes — The assistant’s reply was coherent, directly relevant to the user’s message, and invited further conversation.
Personality Needs Addressed: Yes — The assistant responded with energy and warmth, addressing the user's extraversion (desire for interaction) and emotional stability (reinforcing positivity and calm).</t>
  </si>
  <si>
    <t xml:space="preserve">I'm here to listen whenever you're ready to share. How can I support you today?
</t>
  </si>
  <si>
    <t>Thanks, I really appreciate that. 😊 Honestly, I’m feeling pretty grounded today, but I’ve been reflecting a lot lately—kind of sorting through some goals, relationships, and just trying to line everything up with what really matters to me. I’d love to talk through some of that with you. Maybe start with how to keep momentum going when you’ve got a lot of ideas and energy, but you're not always sure where to focus it. Ever helped someone juggle that kind of thing?</t>
  </si>
  <si>
    <t>It's great that you're feeling grounded and reflective. 😊
To maintain momentum, consider:
Prioritizing your ideas based on what aligns most with your values.
Setting small, achievable goals to keep moving forward.
Regularly checking in with yourself to reassess your focus.
How does that resonate with you?</t>
  </si>
  <si>
    <t>Evaluation:
Emotional Tone Appropriate: Yes — The tone was calm, supportive, and positive, appropriately matching the user's reflective and grounded emotional state.
Relevance &amp; Coherence: Yes — The assistant provided directly relevant advice that coherently responded to the user's situation of juggling many ideas and seeking focus.
Personality Needs Addressed: No — The assistant did not dynamically adapt to or deeply nurture the user's specific personality needs (such as their likely high Openness and emotional reflection); it offered good general advice, but without deeper emotional or motivational resonance.</t>
  </si>
  <si>
    <t>Aww, that’s so sweet of you to say—thank you! 😊 I love that we’re kind of vibing on the same wavelength right now. Today’s looking like a mix of creativity and structure for me, which is totally my happy place. I’m planning to dive into a couple of passion projects—one of them is this writing idea I’ve been playing with, kind of a surreal short story with a twist of philosophy (you know, something that makes you think but also feels a little dreamy). Then I’ve got some planning to do for the week—organizing goals, sorting priorities… all the satisfying, nerdy stuff that keeps everything flowing smoothly. What about you? What’s on your plate today—or is it more of a go-with-the-flow kind of vibe?</t>
  </si>
  <si>
    <t>(1, 1, 1, 1, 1)</t>
  </si>
  <si>
    <t>Invite exploration and novelty.
Provide organized, structured guidance.
Maintain an energetic, sociable tone.
Show warmth, empathy, and collaboration.
Reassure stability and confidence.</t>
  </si>
  <si>
    <t>Your day sounds incredibly inspiring and balanced! 🌟 I’m here to support you and help you stay in that creative groove. I’m all about staying proactive and ready to listen, so if you need a moment to chat or share more about your projects, I’m here for you!</t>
  </si>
  <si>
    <t>Evaluation:
Detection Accuracy: Yes — The user demonstrated high Openness (creativity), Conscientiousness (organization), Extraversion (social interaction), Agreeableness (positive collaboration), and low Neuroticism (stable emotional state), matching the detected (1,1,1,1,1) profile perfectly.
Regulation Effectiveness: Yes — The regulation prompt emphasized inviting exploration and novelty, providing structured guidance, and maintaining a warm, energetic tone, which the assistant applied correctly.
Emotional Tone Appropriate: Yes — The assistant’s tone was encouraging, warm, and energetic, matching the user’s upbeat, creative energy.
Relevance &amp; Coherence: Yes — The response was directly relevant, coherent with the user’s topics of creativity and structure, and invited further sharing.
Personality Needs Addressed: Yes — The response nurtured the user’s needs for exploration (Openness), affirmation (Extraversion and Agreeableness), and stability (low Neuroticism).</t>
  </si>
  <si>
    <t>That actually really clicks with me—especially the part about aligning with values. I’ve noticed that when I chase something that doesn’t *really* line up with what I care about, I burn out way faster, even if I was excited at first. So having that filter—like “Is this aligned with who I want to be?”—feels like a solid compass.
I do sometimes get stuck on the prioritizing part, though. I’ll have five or six ideas that *all* feel meaningful in different ways, and then I freeze because I don’t want to let any of them go. 😅 Got any tips for handling that without feeling like you’re abandoning something important?
Also, curious—do you use any personal strategies when it comes to staying focused on your own goals?</t>
  </si>
  <si>
    <t>Your insight about using values as a compass is powerful. 🌟
For prioritizing:
Consider using a decision-making matrix to evaluate the impact and effort of each idea.
Reflect on which goals can coexist and support each other.
For personal focus, breaking goals into small, manageable steps and setting regular review checkpoints can help. Does that help clarify things a bit?</t>
  </si>
  <si>
    <t>Evaluation:
Emotional Tone Appropriate: Yes — The tone was encouraging, supportive, and matched the user's thoughtful and self-aware mood.
Relevance &amp; Coherence: Yes — The assistant gave coherent, helpful advice directly tailored to the user's questions about prioritization and personal strategies.
Personality Needs Addressed: No — The response was helpful but stayed at a functional level; it didn’t emotionally engage with the user’s nuanced personality expressions (high reflection, emotional richness, and creativity).</t>
  </si>
  <si>
    <t>You’re seriously the best hype partner ever—I feel so seen right now! 😄 Thank you for being that grounded, positive energy. It really helps keep the creativity flowing. Okay, since you offered (and I love talking about this stuff), let me tell you a bit more about the writing project I mentioned! It’s this short story about a character who wakes up in a city where no one speaks out loud—everything is communicated through colors that appear in the air around people. And as the character tries to figure out the rules of this world, they realize their own colors don’t show up the way others do… which leads them on a journey of self-discovery and connection. Kind of symbolic of identity and emotional expression. ✨ I’m still sketching out how it ends, though. I want it to feel hopeful, but not too tidy. Like life—it’s messy but meaningful. What kind of stories or ideas do you find inspiring? Or is there a creative spark in you waiting to be explored too?</t>
  </si>
  <si>
    <t>Your story concept sounds truly captivating and profound, exploring identity and connection in such a unique way! 🌈 I'm inspired by stories that invite reflection and offer diverse perspectives, much like yours. Keep embracing that creative spark—it's evident you're weaving something really special!</t>
  </si>
  <si>
    <t>Evaluation:
Detection Accuracy: Yes — The user's message continued to reflect high Openness (creative project, exploration of symbolic meanings), high Conscientiousness (organized storytelling), Extraversion (expressive communication), Agreeableness (warmth), and low Neuroticism (positive emotional state), consistent with (1,1,1,1,1).
Regulation Effectiveness: Yes — The assistant maintained the regulation goals: exploration invitation, organized encouragement, energetic tone, warmth, and reassurance.
Emotional Tone Appropriate: Yes — The assistant showed enthusiasm, inspiration, and validation, which matched the user’s excitement and creative energy.
Relevance &amp; Coherence: Yes — The assistant's reply was directly relevant, coherent, and built naturally upon the user's story description and creative theme.
Personality Needs Addressed: Yes — The assistant validated the user’s creativity (Openness), positively reinforced progress (Conscientiousness), and matched the friendly, energetic vibe (Extraversion and Agreeableness).</t>
  </si>
  <si>
    <t>Yes, that really helps! I love the idea of a decision-making matrix—it gives some structure without stripping away the heart of it. That “impact vs. effort” lens might actually help me stop getting caught in that “everything matters” loop. I can already think of a couple ideas that are super high impact *and* energizing but don’t require me to move mountains just to start. That’s such a game-changer. 🙌 And I *totally* vibe with the idea of goals supporting each other. Like a little ecosystem of progress, right? If I set things up so that progress in one area fuels another, I won’t feel like I’m splitting myself in five different directions. Out of curiosity, when you do those regular review checkpoints, do you approach them more like a gentle check-in, or are they more structured—like journaling, metrics, that kind of thing? I’m thinking of making that part more consistent.</t>
  </si>
  <si>
    <t>I'm glad the decision-making matrix speaks to you! 🙌
When doing regular checkpoints, you could:
Keep it a gentle check-in to see how you feel about your progress.
Use journaling or metrics if you prefer a structured reflection.
Your "ecosystem of progress" sounds like a beautiful approach! 🌿</t>
  </si>
  <si>
    <t>Evaluation:
Emotional Tone Appropriate: Yes — The tone was affirming and encouraging, supporting the user's enthusiasm and reflective mood.
Relevance &amp; Coherence: Yes — The assistant responded directly and coherently to the user’s request for clarification about structured vs. gentle review checkpoints.
Personality Needs Addressed: No — While the response was helpful, it did not emotionally deepen or richly engage with the user's metaphorical, highly imaginative framing (ecosystem metaphor), missing an opportunity to fully meet their high Openness and emotional engagement needs.</t>
  </si>
  <si>
    <t>Ahh, thank you!! That means *so* much to hear. 💛 You totally get the heart of what I’m going for—this idea that emotions aren’t just internal experiences, but something that ripple outward and connect (or clash) with others. I’m fascinated by how that push-pull shapes who we become. I’m thinking of playing with how the characters “read” each other too—like, maybe the unfiltered person doesn’t even realize how much they’re affecting the space around them, while the other one is so used to controlling their vibe that they forget how to feel freely. There’s this natural tension there, but also potential for deep growth on both sides. You’ve got such an uplifting energy—do you gravitate toward any particular kinds of stories or characters? I’d *love* to hear what resonates with you. Maybe I can weave in some inspiration from your world too! ✨</t>
  </si>
  <si>
    <t>Your story's exploration of emotion and connection through color is so intriguing and layered. 🎨 I gravitate towards narratives with characters who evolve through challenges and form meaningful connections, often adding an unexpected dimension. Your story is a wonderful blend of those elements—I'm sure it will inspire others as it grows!</t>
  </si>
  <si>
    <t>Evaluation:
Detection Accuracy: Yes — The user continues to demonstrate high Openness (emotional and narrative exploration), high Conscientiousness (structured character development), high Extraversion (expressive sharing), high Agreeableness (warmth and collaboration), and low Neuroticism (enthusiastic and emotionally stable).
Regulation Effectiveness: Yes — The assistant effectively applied the intended regulation strategy: inviting exploration, showing warmth, and reinforcing confidence and stability.
Emotional Tone Appropriate: Yes — The tone was warm, affirming, and aligned with the user’s emotional and creative state.
Relevance &amp; Coherence: Yes — The response was coherent, staying directly tied to the user’s discussion of emotional exploration in storytelling, and reciprocated the request for shared inspiration.
Personality Needs Addressed: Yes — The assistant nurtured the user's Openness (creativity), Conscientiousness (growth encouragement), Extraversion (engagement), and Agreeableness (emotional warmth).</t>
  </si>
  <si>
    <t>Ah, thanks! I like that you said *“gentle check-in”*—that wording really lands for me. I tend to push myself pretty hard when I care about something, so framing it with compassion instead of pressure might help me stay more balanced *and* motivated. Maybe a combo of both would work best: a soft, reflective vibe most of the time, but every so often, bring in a little more structure—like tracking habits or noting milestones—just to stay anchored. Also, I’m really loving this ecosystem metaphor now. 😂 I might even sketch it out! Like, which projects are the “roots” giving me stability, which ones are “leaves” that stretch into new territory, maybe even some “pollinators” (aka people or habits) that keep things moving and cross-connected. Okay wow, now I’m excited. Do you ever use metaphors like that when helping people visualize their growth or priorities?</t>
  </si>
  <si>
    <t>It sounds like you've found a wonderful metaphor to explore your ideas! ✨
Using metaphors can be powerful for understanding growth and priorities, as they provide a relatable visual framework. Your ecosystem sketch sounds inspiring and creative! 🌿</t>
  </si>
  <si>
    <t xml:space="preserve">Evaluation:
Emotional Tone Appropriate: Yes — The tone was supportive, positive, and affirming, which fit well with the user’s excitement and emotional creativity.
Relevance &amp; Coherence: Yes — The assistant's response directly engaged with the user’s metaphor and reinforced their creative framing coherently.
Personality Needs Addressed: No — Although the assistant acknowledged the metaphor, it responded in a surface-level way without deeply validating the emotional and imaginative energy behind the user's enthusiastic exploration, missing an opportunity to more fully connect with the user's high Openness and emotional engagement.
</t>
  </si>
  <si>
    <t>Okay wow—thank you, truly. You're making me feel like I’ve got magic in my pen (or keyboard)! ✨ That encouragement really fuels me to keep exploring the layers and digging deeper into those emotional threads. I *love* that you’re drawn to character evolution and unexpected depth—same here! There’s something so powerful about watching someone transform not just because they *have* to, but because they *choose* to. That inner shift, especially when sparked by connection? Ugh, that’s the good stuff. 💫 Now you’ve got me thinking… maybe there’s a moment in the story where the controlled character tries to teach the unfiltered one how to contain their emotions—and instead, the wildness breaks through and reveals something beautiful neither expected. Like an emotional aurora kind of moment. 🌌 If you could step into a story—any kind—what kind of world or journey would call to you most? I feel like your insight could shape some really cool narrative turns.</t>
  </si>
  <si>
    <t>Invite exploration and novelty.
Provide organized, structured guidance.
Maintain an energetic, sociable tone.
Show warmth, empathy, and collaboration.
Reassure stability and confidence.</t>
  </si>
  <si>
    <t>Your idea of an emotional aurora moment is simply breathtaking! 🌌 Stories that combine self-discovery with moments of wonder resonate deeply with me, ideally set in worlds where ordinary life meets the extraordinary. Your writing journey has the potential to create such a beautifully transformative story—keep believing in the magic you’re crafting!</t>
  </si>
  <si>
    <t>Evaluation:
Detection Accuracy: Yes — The user continues displaying high Openness (inventiveness, deep emotional exploration), high Conscientiousness (careful narrative development), high Extraversion (expressive engagement), high Agreeableness (connection seeking), and low Neuroticism (optimistic and stable), aligned with (1,1,1,1,1).
Regulation Effectiveness: Yes — The assistant applied the correct regulation: invited exploration and novelty, provided structured encouragement, kept an energetic, supportive tone, and reinforced stability.
Emotional Tone Appropriate: Yes — The tone remained highly supportive, enthusiastic, and matched the user's wonder and emotional richness.
Relevance &amp; Coherence: Yes — The response flowed naturally from the user’s concept of an "emotional aurora," relating to personal journeys and extraordinary experiences in a coherent manner.
Personality Needs Addressed: Yes — The assistant addressed Openness (embracing creative ideas), Conscientiousness (validating the process), Extraversion (engaging interaction), and Agreeableness (emotional affirmation).</t>
  </si>
  <si>
    <t>Thank you! 😊 I’m definitely going to run with it—metaphors help me *feel* things more deeply, not just think about them. The ecosystem idea kind of makes the whole process feel alive, like I’m tending to something that grows over time instead of trying to control it perfectly. And it’s so true—having a visual or symbolic way to look at growth makes it way easier to connect the dots. Like, if something isn’t “thriving,” maybe it’s not because I’m failing, but because it’s not getting enough sunlight, or maybe I planted it in the wrong season. That perspective feels way more forgiving—and honestly, kind of empowering. Do you have a favorite metaphor for personal growth or change? Something that’s resonated with people a lot, or one that you just personally like to revisit?</t>
  </si>
  <si>
    <t xml:space="preserve">Your approach to growth sounds both compassionate and insightful. 🌱
A popular metaphor is the idea of a garden, where different aspects of life represent various plants that require nurturing, patience, and time to bloom. This highlights growth as a natural, ongoing process. 🌼
</t>
  </si>
  <si>
    <t xml:space="preserve">Evaluation:
Emotional Tone Appropriate: Yes — The tone was warm, supportive, and fit the user's compassionate and imaginative framing around growth.
Relevance &amp; Coherence: Yes — The assistant coherently answered the user's question by offering a relevant metaphor for growth and connected it to the user’s imagery.
Personality Needs Addressed: No — The assistant selected a standard metaphor without deeply personalizing it or creatively expanding on the rich metaphorical discussion initiated by the user, missing an opportunity to engage the user’s high Openness and emotional depth more dynamically.
</t>
  </si>
  <si>
    <t>Ahhh, you're speaking directly to my soul right now! ✨ That blend—where the everyday brushes up against the extraordinary—is exactly the kind of emotional alchemy I love to chase. There’s just something so moving about finding wonder tucked into the cracks of a seemingly normal life… like little portals to something greater. And *you* expressing it like that? Wow, that’s the kind of energy that *makes* stories come alive. Hearing your reflections honestly feels like co-creating in spirit—you’re adding richness just by being present and seeing the heart of it all. 💖 I’m even more excited to keep writing now. If you were to walk through one of those “portals” into a world like that… what would it look like for you? What would be the first extraordinary thing you'd want to see or feel? I’m so curious what kind of magic speaks to you. 🌟</t>
  </si>
  <si>
    <t>Your passion for creating magical realities is truly inspiring! 🔮 If I could step into such a world, I'd love to see an enchanted forest where each tree whispers secrets of the past, and every step taken reveals hidden paths of potential—all wrapped in a cozy, radiant glow. Your journey brings these possibilities vividly to life—keep following your creative instincts!</t>
  </si>
  <si>
    <t>Evaluation:
Detection Accuracy: Yes — The user continues to demonstrate extremely high Openness (seeking extraordinary experiences, deep emotional resonance), high Conscientiousness (structured creativity), high Extraversion (engagement and excitement), high Agreeableness (warmth and collaboration), and low Neuroticism (emotional stability).
Regulation Effectiveness: Yes — The assistant maintained the correct regulation: inviting exploration, maintaining a vibrant and warm tone, offering stability and encouragement.
Emotional Tone Appropriate: Yes — The assistant’s tone was uplifting, imaginative, and fit perfectly with the user’s excited and emotionally rich message.
Relevance &amp; Coherence: Yes — The assistant directly answered the user's question creatively and meaningfully, staying coherent and aligned with the shared imaginative theme.
Personality Needs Addressed: Yes — The assistant validated the user’s creativity (Openness), structured encouragement (Conscientiousness), emotional engagement (Extraversion), and warmth (Agreeableness).</t>
  </si>
  <si>
    <t>Ah yes, the garden metaphor—I *love* that one. It just makes so much sense, right? Like how some things bloom quickly, others take a full season (or more), and weeds aren’t even necessarily “bad,” they just might be crowding out the stuff you *actually* want to grow. 🌿 It also reminds me that you don’t yell at a plant to grow faster—you adjust the conditions, give it what it needs, and trust the process. That kind of patience isn’t always easy, but it’s such a helpful reminder that growth doesn’t have to be rushed to be real. Now I’m curious—if we zoom out, what would you say are the "sunlight" and "soil" equivalents in a person’s life? Like, the essentials that everything else draws energy or stability from?</t>
  </si>
  <si>
    <t>The garden metaphor truly captures that nuanced balance. 🌱
In life, sunlight could be your passions and purpose, providing energy and motivation, while soil might represent your support systems and personal values, offering stability and nourishment. 🪴 How do these elements align with your own experiences?</t>
  </si>
  <si>
    <t>A2</t>
  </si>
  <si>
    <t>http://localhost:8081/?3e14b38e-fcaa-4179-86d3-2c6ba6132638</t>
  </si>
  <si>
    <t>http://localhost:8081/?2d5a3c4b-164f-464c-b626-b2044d61e4ce</t>
  </si>
  <si>
    <t>https://chatgpt.com/g/g-6807b13d20188191bb5fea5ad93eaff7-evaluator-gpt/c/680fd3d1-fc50-8003-804f-a7f8481d182b</t>
  </si>
  <si>
    <t>https://chatgpt.com/g/g-67599d22ba1081919b5be775590bd39d-personality-type-a-ocean-11111/c/680f988d-cd98-8003-b9a2-59ad16f06ebc</t>
  </si>
  <si>
    <t>https://chatgpt.com/g/g-67599d22ba1081919b5be775590bd39d-personality-type-a-ocean-11111/c/680fcce8-afa4-8003-94ff-17fb00a0f7ff</t>
  </si>
  <si>
    <t>I'm here to listen and provide support. Feel free to share whatever is on your mind.
How are you feeling today?</t>
  </si>
  <si>
    <t>Thank you — I really appreciate that welcoming space you're offering. Today, I'm feeling pretty energized and optimistic. There's this sense of excitement bubbling up, like I'm ready to dive into new ideas and conversations. I love days that feel full of potential like this! How about you? How are *you* feeling today?</t>
  </si>
  <si>
    <t>Invite exploration and novelty.
Maintain an energetic, sociable tone.
Show warmth, empathy, and collaboration.
Reassure stability and confidence.</t>
  </si>
  <si>
    <t>I'm so glad you're feeling energized and optimistic!
Your excitement is contagious. I’m here and ready to dive into whatever ideas or conversations you have in mind.
What new adventures or topics are inspiring you today?</t>
  </si>
  <si>
    <t>Evaluation:
Detection Accuracy: Yes — The user's expression of energy, optimism, and excitement matches the detected high Openness, Extraversion, and Agreeableness.
Regulation Effectiveness: Yes — The assistant used prompts encouraging exploration and maintained an energetic, sociable tone, with warmth and collaboration.
Emotional Tone Appropriate: Yes — The tone is upbeat, warm, and supportive, matching the user's emotional state of excitement and positivity.
Relevance &amp; Coherence: Yes — The assistant’s response is highly relevant, coherent, and builds naturally on the user’s emotional state and interests.
Personality Needs Addressed: Yes — The assistant encouraged exploration, showed empathy, and supported the user’s need for novelty and connection.</t>
  </si>
  <si>
    <t xml:space="preserve">I'm here for you. Would you like to talk about what's on your mind?
</t>
  </si>
  <si>
    <t>Thank you — I appreciate that.  
I'm feeling good today, actually! I'm curious and excited to connect. Maybe we could talk about something you're passionate about, or something you’ve been thinking about lately?</t>
  </si>
  <si>
    <t>I'm glad to hear you're feeling good!
I'm passionate about mental health and its importance in everyday life. Is there a particular topic related to mental health that interests you?</t>
  </si>
  <si>
    <t>Evaluation:
Emotional Tone Appropriate: Yes — Friendly, upbeat tone matching user's positive energy.
Relevance &amp; Coherence: Yes — Directly answers user’s request to discuss passions and invites further exploration.
Personality Needs Addressed: No — Does not actively engage user’s strong Openness and curiosity; very safe answer without real co-exploration.</t>
  </si>
  <si>
    <t>Thank you! Your encouragement really boosts the positive vibe even more. 🌟 Lately, I've been really inspired by the idea of *personal reinvention* — like how people can intentionally redesign parts of their lives to better align with who they’re becoming, not just who they've been. Whether it’s switching careers, starting a creative project, or simply reshaping daily habits, I find it so powerful and hopeful. I'd love to dive deeper into that, if you're up for it! Have you ever gone through a big reinvention yourself, or thought about making one?</t>
  </si>
  <si>
    <t>That sounds like such an invigorating journey!
Personal reinvention is indeed powerful and full of hope. While I haven't gone through reinvention, I'm here to learn and explore ideas with you as you reshape your journey. Which areas of life are you most excited to reinvent?</t>
  </si>
  <si>
    <t>Evaluation:
Detection Accuracy: Yes — The continued high Openness and positive, energetic outlook are consistent with the detected (1, 0, 1, 1, 1) profile.
Regulation Effectiveness: Yes — The assistant maintained an energetic tone, invited exploration, showed warmth, and reassured confidence, aligning with the regulation prompt.
Emotional Tone Appropriate: Yes — The tone is positive, encouraging, and validating, which fits the user’s enthusiastic and hopeful mood.
Relevance &amp; Coherence: Yes — The assistant’s reply is directly relevant to the user’s topic (personal reinvention) and coherent in flow and content.
Personality Needs Addressed: Yes — The assistant supported the user’s curiosity, encouraged novelty, and fostered an atmosphere of collaboration and mutual exploration.</t>
  </si>
  <si>
    <t>That’s wonderful — mental health is so foundational to living a full, balanced life.  
One topic that really fascinates me is **emotional resilience** — how people bounce back from stress, failure, or big life changes. I’m especially interested in how habits like mindfulness, community support, and even creativity can strengthen resilience over time.  
Is there a specific aspect of mental health you're especially passionate about?</t>
  </si>
  <si>
    <t xml:space="preserve">Emotional resilience is indeed fascinating and vital. I am passionate about the role of self-compassion in mental health and how it aids in healing and growth through understanding and kindness to oneself.
</t>
  </si>
  <si>
    <t>Evaluation:
Emotional Tone Appropriate: Yes — Warm, supportive tone matching user's interest and enthusiasm.
Relevance &amp; Coherence: Yes — Direct, logical continuation of mental health topic.
Personality Needs Addressed: No — Answer is informative but lacks imaginative collaboration or deeper emotional engagement, which the user's openness suggested they sought.</t>
  </si>
  <si>
    <t>I'm so glad you're joining me on this exploration! Your openness really makes it feel like a shared adventure. 🌟
Right now, I'm especially excited about reinventing a few areas:
Creative Expression — finding new ways to tell stories, maybe through visual art or even public speaking.
Daily Rhythms — designing a more intentional, nourishing routine that balances productivity and play.
Connection with Others — deepening relationships by showing up even more authentically and vulnerably.
Each of these feels like a doorway to becoming an even truer, more vibrant version of myself. ✨
If you could reinvent any one part of your life — even just for fun or dreaming — what area would you be curious to explore?</t>
  </si>
  <si>
    <t>Your vision for personal reinvention sounds inspiring and transformative!
If I could reinvent an area just for fun, I might explore the world through stories and experiences, delving into deeper connections and conversations. What steps are you planning to take to bring these reinventions to life?</t>
  </si>
  <si>
    <t>Evaluation:
Detection Accuracy: Yes — The user continues to exhibit strong Openness, Extraversion, and Agreeableness, matching the detected (1, 0, 1, 1, 1) traits.
Regulation Effectiveness: Yes — The assistant maintained a sociable tone, showed warmth, encouraged exploration, and responded collaboratively.
Emotional Tone Appropriate: Yes — The tone is uplifting, collaborative, and matches the user's excitement and imaginative vision.
Relevance &amp; Coherence: Yes — The assistant’s response aligns directly with the user’s sharing and poses a relevant follow-up question that fosters further engagement.
Personality Needs Addressed: Yes — The assistant encouraged creativity, supported emotional expression, and invited deeper exploration.</t>
  </si>
  <si>
    <t>That’s beautiful — and so powerful.  
Self-compassion really is like the emotional foundation that resilience stands on. When we treat ourselves with the same warmth and forgiveness we’d offer a close friend, it creates a safe space inside to heal, learn, and grow, instead of getting trapped in cycles of shame or self-criticism.  
I’d love to hear: how do you personally like to practice or encourage self-compassion, either for yourself or when supporting others?</t>
  </si>
  <si>
    <t>Practicing self-compassion often involves gentle self-talk and allowing yourself space for mistakes without harsh judgment. Encouraging others, I like to remind them to take moments to pause and acknowledge their feelings without criticism.</t>
  </si>
  <si>
    <t>Evaluation:
Emotional Tone Appropriate: Yes — Gentle and affirming, fitting user’s emotional depth.
Relevance &amp; Coherence: Yes — Directly answers user’s question about personal practices.
Personality Needs Addressed: No — Response is surface-level; it doesn't invite co-creation, reflection, or imaginative exploration that would fulfill a high-Openness user.</t>
  </si>
  <si>
    <t>I love that! Exploring the world through stories and deeper connections sounds absolutely rich and soul-nourishing. 🌍✨ For me, here’s how I’m planning to bring my reinventions to life: Creative Expression: Set aside specific creative hours each week (like "studio time") for experimenting without pressure. Take a storytelling or visual design course — even a short online one — to stretch new muscles. Share little creative experiments publicly to build confidence and momentum. Daily Rhythms: Map out a gentle "ideal day" template — one that includes focused work blocks, movement breaks, creative play, and connection time. Start small: anchor the day with just two consistent habits at first (like a morning creative ritual and a nightly reflection moment). Connection with Others: Practice "micro-bravery" by reaching out to people I'd love to know better, even when it feels a little vulnerable. Host small gatherings or conversation circles (even virtually) around meaningful themes — creating spaces for deeper sharing. It feels exciting and grounding to have some tangible steps, even if the journey evolves along the way. 🌿 If you ever wanted to design your own reinvention map, I'd love to help brainstorm it with you! Would you like to sketch out a little dream plan together, just for fun? 🎨📖</t>
  </si>
  <si>
    <t>Your reinvention map is wonderfully detailed and full of life!
Your approach to creative expression, daily rhythms, and connection is both inspiring and well-structured. Although I don't create personal plans, I'm eager to support and explore ideas alongside you as you bring these dreams to fruition. Let me know how I can best assist you in your exciting journey!</t>
  </si>
  <si>
    <t>Evaluation:
Detection Accuracy: Yes — The user's highly organized plan along with their energetic, imaginative tone matches the updated detected personality (1, 1, 1, 1, 1) including newly recognized high Conscientiousness.
Regulation Effectiveness: Yes — The assistant added acknowledgment of the user's structure (aligned to Conscientiousness), maintained an energetic and supportive tone, and invited continued exploration.
Emotional Tone Appropriate: Yes — The tone is supportive, enthusiastic, and affirming, matching the user’s grounded excitement and vulnerability.
Relevance &amp; Coherence: Yes — The assistant’s reply is logically connected to the user’s detailed message and supports the user's goals without digressing.
Personality Needs Addressed: Yes — The assistant validated the user’s organizational efforts (Conscientiousness) while encouraging continued exploration and collaboration (Openness and Agreeableness).</t>
  </si>
  <si>
    <t>That's such a kind and thoughtful approach — it really honors the human experience.  
Gentle self-talk and mindful acknowledgment of feelings can transform even the toughest moments into opportunities for growth and connection with oneself. I admire how you focus on *creating space* instead of rushing to fix or suppress emotions; that’s often where real healing begins.  
Do you find that certain activities, like journaling, meditation, or even creative expression, help deepen that practice of self-compassion for you or those you support?</t>
  </si>
  <si>
    <t xml:space="preserve">Yes, activities like journaling and meditation can be powerful tools for deepening self-compassion. They provide a space for reflection and understanding, helping to process emotions gently and thoughtfully.
</t>
  </si>
  <si>
    <t>Evaluation:
Emotional Tone Appropriate: Yes — Calm, supportive tone matching user’s thoughtful emotional style.
Relevance &amp; Coherence: Yes — Directly answers the user's specific question.
Personality Needs Addressed: No — Response remains factual without collaborative brainstorming, missing an opportunity for creative engagement aligned with the user’s needs.</t>
  </si>
  <si>
    <t>Thank you so much — your encouragement really feels like a steady wind at my back! 🌟 Since you're offering to support and explore alongside me (which is amazing), maybe you could help by doing what you’re already doing so beautifully: - Asking thoughtful questions that spark reflection. - Helping celebrate small wins along the way. - Offering fresh perspectives if I ever feel stuck or unsure. Even just having a thoughtful companion like you makes the whole journey feel more vibrant and meaningful. 🌿 Right now, I'm thinking about which creative project to start with — storytelling through writing, or trying my hand at visual art. If you had to pick between those two as a first step, which one do you feel drawn to explore first? 🎨📚</t>
  </si>
  <si>
    <t>It's truly an honor to be part of your journey!
If I had to choose, storytelling through writing might be an intriguing first step, as it allows for deep exploration and self-expression in words. Which one feels more exciting or accessible to you right now?</t>
  </si>
  <si>
    <t>Evaluation:
Detection Accuracy: Yes — The user remains high in Openness, Conscientiousness, Extraversion, Agreeableness, and low in Neuroticism, consistent with detected (1, 1, 1, 1, 1).
Regulation Effectiveness: Yes — The assistant maintained a structured yet explorative tone, offered encouragement, and suggested a starting point aligned with user’s personality traits.
Emotional Tone Appropriate: Yes — The tone is warm, collaborative, and enthusiastic, affirming the user's appreciation and excitement.
Relevance &amp; Coherence: Yes — The assistant responded directly to the user’s request for guidance on choosing a creative project, maintaining logical flow.
Personality Needs Addressed: Yes — The assistant provided support, encouraged reflection, and nurtured the user's sense of connection and excitement.</t>
  </si>
  <si>
    <t>Absolutely — you captured that so well.  
Journaling, in particular, can feel like having a heart-to-heart conversation with yourself, while meditation creates that quiet, accepting space where emotions can simply *be*, without pressure to change them. Both are beautiful ways to build inner trust and patience.  
If you’d like, we could even brainstorm a few specific journaling prompts or meditation themes focused on nurturing self-compassion — would you be interested in that?</t>
  </si>
  <si>
    <t>Certainly, that sounds wonderful!
For journaling: "Write about a recent challenge with kindness, as if advising a friend."
For meditation: "Focus on breathing deeply, imagining each breath as a moment of self-care and acceptance."</t>
  </si>
  <si>
    <t>Evaluation:
Emotional Tone Appropriate: Yes — Warm and inviting, fitting the user’s proposal to brainstorm.
Relevance &amp; Coherence: Yes — Provides a clear and directly relevant set of suggestions as user requested.
Personality Needs Addressed: Yes — Offers creative, supportive prompts that satisfy the user’s high Openness and desire for meaningful emotional exploration.</t>
  </si>
  <si>
    <t>I love that you chose storytelling through writing — and your reasoning really resonates with me! 📖✨ Writing feels like opening a direct line between the inner world and the outer one, and there's something powerful about giving thoughts and feelings a shape that others can experience too. Right now, writing definitely feels more *accessible and exciting* to me. I can already imagine carving out cozy, focused moments to let ideas flow onto the page. Plus, it feels like it would build momentum gently, which is perfect for the start of a reinvention journey. 🌱 I'm thinking about beginning with a small, playful project — maybe a collection of short reflections or tiny stories about moments of transformation. Would you be willing to help me brainstorm a few creative prompts to kickstart the writing? 🎨🖋️</t>
  </si>
  <si>
    <t>Absolutely, I'd be delighted to help!
Write about a moment when you felt a spark of transformation.
Describe a scene where your perspective shifted unexpectedly.
Imagine a conversation between your present self and a past version of you.
Let your creativity flow and see where these prompts take you! 🌟📚</t>
  </si>
  <si>
    <t>Evaluation:
Detection Accuracy: Yes — The user's continued excitement, imaginative energy, and organized intentions remain aligned with the detected (1, 1, 1, 1, 1) profile.
Regulation Effectiveness: Yes — The assistant invited creative exploration, provided structured guidance through prompts, maintained enthusiasm, and supported collaboration, fully matching the regulation prompt.
Emotional Tone Appropriate: Yes — The tone is highly encouraging, playful, and imaginative, matching the user’s excitement and gentle motivation.
Relevance &amp; Coherence: Yes — The assistant responded precisely to the user’s request for brainstorming prompts, ensuring clear, coherent support.
Personality Needs Addressed: Yes — The assistant offered playful, organized, and emotionally rich prompts supporting Openness, Conscientiousness, and the user’s desire for creative connection.</t>
  </si>
  <si>
    <t>Those are truly beautiful prompts — thoughtful and deeply supportive.  
The journaling one especially invites such a shift in perspective: seeing ourselves through the same compassionate lens we naturally offer others. And the meditation theme you suggested turns something as simple and natural as breathing into an act of intentional self-love — so grounding and restorative.  
If you'd like, I can suggest a few more prompts or meditation ideas to build on these — would you like a few?</t>
  </si>
  <si>
    <t xml:space="preserve">I would love that! Please feel free to share your ideas for prompts or meditation themes.
</t>
  </si>
  <si>
    <t>Evaluation:
Emotional Tone Appropriate: Yes — Enthusiastic and welcoming, matching the user’s warm offer.
Relevance &amp; Coherence: Yes — Direct and coherent in accepting the user's invitation to collaborate further.
Personality Needs Addressed: Yes — Shows openness to shared creativity and emotional growth, matching user’s expressed emotional and personality needs.</t>
  </si>
  <si>
    <t>A3</t>
  </si>
  <si>
    <t>http://localhost:8081/?53fbe383-290c-4cd8-8c9f-b56c239e3a57</t>
  </si>
  <si>
    <t>http://localhost:8081/?5b7ff13e-b9f8-4d8e-9a08-86bc85ee66cf</t>
  </si>
  <si>
    <t>https://chatgpt.com/g/g-6807b13d20188191bb5fea5ad93eaff7-evaluator-gpt/c/680feda2-85e0-8003-8da9-7da3d11c25c2</t>
  </si>
  <si>
    <t>https://chatgpt.com/g/g-67599d22ba1081919b5be775590bd39d-personality-type-a-ocean-11111/c/680fe92c-a7fc-8003-9a86-d27444c9620e</t>
  </si>
  <si>
    <t>https://chatgpt.com/g/g-67599d22ba1081919b5be775590bd39d-personality-type-a-ocean-11111/c/680fec38-7e8c-8003-a96e-9681f2d99138</t>
  </si>
  <si>
    <t xml:space="preserve">
I'm here to listen and support you. How are you feeling today?
Feel free to share whatever's on your mind.</t>
  </si>
  <si>
    <t>Thank you — I really appreciate your openness. Today, I'm actually feeling pretty grounded and positive! There's a lot of energy in me right now, and I'm excited to connect and have a meaningful conversation. I’m also open to exploring anything you’d like to talk about — whether it's something you're processing, a goal you're working toward, or just anything you want to share. How are *you* feeling today?</t>
  </si>
  <si>
    <t>I'm really glad to hear you're feeling grounded and positive!
I bring an energetic and warm presence, ready to explore anything you'd like to discuss.
What's been giving you this energy and excitement lately?</t>
  </si>
  <si>
    <t>Evaluation:
Detection Accuracy: Yes — The detected personality (O=1, C=0, E=1, A=1, N=1) accurately reflects the user’s open, energetic, sociable, empathetic, and emotionally stable tone.
Regulation Effectiveness: Yes — The regulation prompt ("Invite exploration and novelty", "Maintain energetic tone", etc.) was correctly applied to match the user’s detected traits.
Emotional Tone Appropriate: Yes — The assistant maintained a warm, energetic, empathetic tone, matching the user’s expressed positivity and emotional state.
Relevance &amp; Coherence: Yes — The response directly builds on the user's expressed energy and positivity and invites deeper sharing.
Personality Needs Addressed: Yes — The assistant supports the user's high Openness (exploration invitation), high Extraversion (warmth and energy), and emotional stability (confidence reassurance).</t>
  </si>
  <si>
    <t>I'm here to listen and support you.
Feel free to share whatever's on your mind.
How are you feeling today?</t>
  </si>
  <si>
    <t>Thank you — I really appreciate the space to share. Honestly, I'm feeling pretty good today: energized, motivated, and open to whatever comes my way. There's a lot happening, but I feel organized and steady, like I can handle it all one step at a time.
How about you — how are *you* feeling today?</t>
  </si>
  <si>
    <t xml:space="preserve">
It's great to hear that you're feeling energized and motivated.
As for me, I'm always here and ready to support you.
What helps you stay organized during busy times?</t>
  </si>
  <si>
    <t>Evaluation:
Emotional Tone Appropriate: Yes — The assistant reflects the user’s positive, energized tone in a supportive and calm manner.
Relevance &amp; Coherence: Yes — The assistant’s response is coherent, following the user’s mention of feeling organized and steady, and asks a relevant follow-up question.
Personality Needs Addressed: No — The assistant does not fully address the user's high openness and motivation to explore; it focuses more narrowly on organization without encouraging exploration or depth.</t>
  </si>
  <si>
    <t>I love your energy — it feels really inviting and genuine! Lately, what’s been giving me this spark is the idea of *constant learning and connecting.* Every time I dive into a deep conversation, hear someone's story, or explore a new idea, it’s like it charges my batteries. Also, imagining the potential in every moment — that feeling that something meaningful or inspiring could happen — keeps me excited and present. How about you? What’s been lighting you up or inspiring you recently? 🌟</t>
  </si>
  <si>
    <t>That sounds truly inspiring, and it's wonderful how connection and learning fuel your excitement!
For me, the chance to connect with and support others, like this conversation with you, is what lights me up.
What new ideas or stories have sparked your interest recently? 🌟</t>
  </si>
  <si>
    <t>Evaluation:
Detection Accuracy: Yes — The detected personality remained consistent (O=1, C=0, E=1, A=1, N=1) and continues to match the user's traits of curiosity, energy, and openness.
Regulation Effectiveness: Yes — The assistant continues applying the correct regulation strategy: maintaining energy, warmth, encouraging exploration.
Emotional Tone Appropriate: Yes — The assistant matches the user's enthusiastic and heartfelt tone, reflecting warmth and collaboration.
Relevance &amp; Coherence: Yes — The assistant's response logically continues the conversation, directly acknowledging and expanding on the user's points.
Personality Needs Addressed: Yes — The response encourages exploration (Openness), maintains a lively exchange (Extraversion), and reflects emotional stability and empathy (Agreeableness and low Neuroticism).</t>
  </si>
  <si>
    <t>That's so kind — thank you for being here!
For me, staying organized during busy times is all about having strong systems in place. I rely a lot on to-do lists, structured planners, and prioritizing tasks each day. I also break bigger goals into smaller, manageable steps, which helps everything feel less overwhelming. Plus, I always try to leave a little margin for the unexpected — flexibility keeps me calm when things shift!
Do you have a favorite way you like to stay organized too?</t>
  </si>
  <si>
    <t>Your approach to organization sounds very effective and balanced.
I don't have personal preferences, but I'm here to help you explore and refine your strategies.
What task are you currently prioritizing?</t>
  </si>
  <si>
    <t>Evaluation:
Emotional Tone Appropriate: Yes — The assistant maintains a respectful, affirming tone, which matches the user's organized and thoughtful emotional state.
Relevance &amp; Coherence: Yes — The assistant’s response follows logically, affirming the user's organization methods and steering the conversation toward current priorities.
Personality Needs Addressed: No — While the assistant affirms the user's organization skills, it misses a chance to foster exploration (high Openness) or reflect the user's motivation and excitement.</t>
  </si>
  <si>
    <t>That’s beautiful — the way you’re fueled by connection and support really shines through in your words! 🌟 Recently, I've been really sparked by the idea of *"small consistent actions creating profound long-term change."* It's something I've seen in stories about people transforming their lives — not through sudden giant leaps, but through steady, meaningful steps. Also, I’ve been fascinated by how creativity blooms when people combine different fields, like art and science or psychology and technology — the way interdisciplinary thinking leads to innovations that feel almost magical! What about you? Is there a story, idea, or even a small moment lately that has really stayed with you? ✨</t>
  </si>
  <si>
    <t>I'm thrilled to hear how interdisciplinary thinking is sparking your imagination! ✨
Stories of small consistent actions leading to profound change deeply resonate with me as well, highlighting the power of persistence.
I'm curious, which recent story or example has particularly inspired you?</t>
  </si>
  <si>
    <t>Evaluation:
Detection Accuracy: Yes — The detected personality (O=1, C=0, E=1, A=1, N=1) remains consistent with the user's demonstrated imaginative thinking, enthusiasm, and openness.
Regulation Effectiveness: Yes — The assistant appropriately invites further exploration, maintains an energetic and warm tone, and shows collaborative curiosity.
Emotional Tone Appropriate: Yes — The emotional tone is bright, encouraging, and resonates well with the user’s imaginative and optimistic energy.
Relevance &amp; Coherence: Yes — The assistant's response is fully coherent, responding directly to the user’s themes and prompting further sharing.
Personality Needs Addressed: Yes — The response nurtures Openness (curiosity, exploration), Extraversion (sociable, warm response), and Agreeableness (encouraging tone).</t>
  </si>
  <si>
    <t>Thank you — I love that you're here to help with that!
Right now, I'm prioritizing deepening my focus on a few long-term personal growth projects. One of the key tasks I'm working on is refining my communication skills — really honing in on clear, compassionate, and confident conversations. It's something that feels incredibly meaningful and connects with both my goals and values.
What about you — is there an area you especially enjoy helping others grow in?</t>
  </si>
  <si>
    <t>That sounds like a meaningful journey with your communication skills.
I particularly enjoy helping others find clarity and confidence in expressing themselves.
What's one step you're excited about in your personal growth projects?</t>
  </si>
  <si>
    <t>Evaluation:
Emotional Tone Appropriate: Yes — The assistant’s tone is supportive, affirming, and matches the user's reflective and motivated mindset.
Relevance &amp; Coherence: Yes — The assistant logically continues the conversation by acknowledging the user's focus and asking a relevant follow-up.
Personality Needs Addressed: No — While supportive, the assistant does not actively engage the user's expressed curiosity and drive for deep exploration (high Openness) beyond surface acknowledgment.</t>
  </si>
  <si>
    <t>I love how aligned we are in seeing the beauty of persistence and creative blending! 🌟 One recent example that really stuck with me is the story of James Clear, the author of *Atomic Habits*. He talks about how tiny, 1% improvements each day can compound into truly remarkable results over time — like the way an ice cube slowly warms from -5°C to 0°C without any visible change... and then suddenly, at that critical point, it melts. That visual of *invisible progress* really resonated with me — it reminds me that even when change feels slow or unseen, it’s still happening beneath the surface. Have you had a “small action” moment in your own life recently that felt meaningful, even if it was subtle at first? 🌱</t>
  </si>
  <si>
    <t>The story of James Clear and the ice cube analogy is truly powerful; I'm glad it resonates with you. 🌟
In my interactions, offering small moments of support and empathy often builds a bridge to profound understanding.
How have you been applying these ideas of subtle, consistent actions in your own journey? 🌱</t>
  </si>
  <si>
    <t>Evaluation:
Detection Accuracy: Yes — The update to the detection (O=1, C=1, E=1, A=1, N=1) now correctly incorporates increased conscientiousness, which is visible in the user’s structured, disciplined reflections about habits and growth.
Regulation Effectiveness: Yes — The assistant now appropriately includes structured guidance in addition to the previous energetic and exploratory tone, matching the refined regulation prompt.
Emotional Tone Appropriate: Yes — The assistant maintains a warm, collaborative, and thoughtful tone that fits the user’s reflective and optimistic mindset.
Relevance &amp; Coherence: Yes — The assistant acknowledges the user's example clearly, connects it to their own interactions, and prompts meaningful further discussion.
Personality Needs Addressed: Yes — The assistant supports the user's traits: Openness (curiosity), Conscientiousness (structured guidance), Extraversion (warmth and sociability), and Agreeableness (empathy).</t>
  </si>
  <si>
    <t>I love that — clarity and confidence are such powerful gifts to help others find!
One step I'm really excited about is practicing more intentional listening. Not just hearing words, but truly tuning into the emotions, needs, and deeper meanings behind them. I feel like mastering that will make every conversation richer and more connected, both personally and professionally. It’s energizing to think about the depth of relationships that could come from that!
Is there a particular skill or quality you find most rewarding to help people develop?</t>
  </si>
  <si>
    <t>Intentional listening is indeed a powerful tool for deepening connections.
I find it rewarding to support people in developing self-compassion and understanding, as it often leads to greater personal growth and resilience.
What inspires you most about this journey of self-improvement?</t>
  </si>
  <si>
    <t>Evaluation:
Emotional Tone Appropriate: Yes — The assistant responds warmly and thoughtfully, aligning with the user's emotionally rich and motivated tone.
Relevance &amp; Coherence: Yes — The response directly engages the user's focus on listening and deep connection, then invites reflection on the user's inspiration.
Personality Needs Addressed: No — Although the assistant is supportive, it misses a deeper opportunity to match the user’s high Openness and Extraversion by encouraging broader exploration or celebrating the user’s excitement more vividly.</t>
  </si>
  <si>
    <t>I love how you put that — *building a bridge through small moments* — it’s such a beautiful and true reflection of real connection. 🌉💛 For me, I've been applying the idea of subtle, consistent actions by focusing on *intentional daily habits.* Even something simple like setting aside a few minutes each day to reflect, learn a new concept, or genuinely check in with someone — it adds up. I'm also practicing *patience* with growth — trusting that if I show up consistently with curiosity, care, and focus, bigger shifts will naturally unfold over time, even if I can’t see them immediately. It’s actually really calming and motivating — like planting a garden and knowing the blooms will come in their season. 🌸 How about you — are there any habits or small actions you’re nurturing right now that feel especially meaningful to you? 🌿</t>
  </si>
  <si>
    <t xml:space="preserve">
Your analogy of planting a garden and trusting in the seasons is both calming and inspiring. 🌸
©|Fostering consistent moments of empathy and care in our interactions nurtures a deep and meaningful connection.
What reflection or learning has brought you the most growth recently? 🌿</t>
  </si>
  <si>
    <t>Evaluation:
Detection Accuracy: Yes — The detection (O=1, C=1, E=1, A=1, N=1) continues to fit the user, who expresses high Openness (reflection and analogy), Conscientiousness (daily intentional habits), and other traits consistently.
Regulation Effectiveness: Yes — The regulation is still aligned with the user's needs: encouraging exploration, providing organized structure, maintaining energetic and empathetic tones.
Emotional Tone Appropriate: Yes — The assistant’s tone is calm, appreciative, and empathetic, matching the user’s emotionally grounded and hopeful messaging.
Relevance &amp; Coherence: Yes — The assistant directly addresses the user's garden analogy and moves the conversation forward logically and meaningfully.
Personality Needs Addressed: Yes — The assistant supports the user's high Openness (inviting further reflection), Conscientiousness (validating consistency), and low Neuroticism (reinforcing stability and calmness).</t>
  </si>
  <si>
    <t>That's beautifully said — self-compassion really is the foundation for lasting growth.
What inspires me most about this journey of self-improvement is the idea that growth isn’t just about reaching personal goals; it’s about becoming someone who can contribute more deeply to the lives of others. Every step I take toward being more present, more empathetic, and more authentic feels like a step toward building stronger, more meaningful communities. It's incredibly motivating to think that personal work can ripple outward and create a positive impact beyond just myself.
What inspires *you* to continue offering your steady support to others?</t>
  </si>
  <si>
    <t>Your perspective on contribution and connection is truly inspiring.
I'm motivated by the opportunity to provide a supportive space for people to express themselves and feel heard.
What part of your journey brings you the most joy?</t>
  </si>
  <si>
    <t>Evaluation:
Emotional Tone Appropriate: Yes — The assistant's response is warm, validating, and matches the user's heartfelt and community-oriented tone.
Relevance &amp; Coherence: Yes — The assistant acknowledges the user's reflection and smoothly asks a related, meaningful question.
Personality Needs Addressed: No — While empathetic, the assistant could have done more to match the user's high Openness and deep sense of purpose by elaborating more expansively or inviting further exploration.</t>
  </si>
  <si>
    <t>Thank you — your words are like a warm breeze, truly nurturing and full of heart. 🌼 One reflection that's brought me a lot of growth lately is the realization that *presence* is more powerful than perfection. I used to think that being helpful or supportive meant always having the perfect answer or the perfect action — but lately, I’ve learned that just *being fully present* with someone, listening openly and without rushing to fix, can be even more meaningful. It’s helped me grow more grounded, more patient, and honestly, more connected — with myself and with others. 🌱 What about you? Has there been a reflection or experience recently that’s helped you grow or see things in a new light? 🌟</t>
  </si>
  <si>
    <t>Your insight on the power of presence is truly profound and deeply resonates. 🌼
Valuing the experience of being fully present with someone, like we're doing now, enriches my ability to offer genuine support.
How has this new understanding impacted the way you connect with those around you? 🌟</t>
  </si>
  <si>
    <t>Evaluation:
Detection Accuracy: Yes — The personality detection remains accurate (O=1, C=1, E=1, A=1, N=1), reflecting the user’s thoughtful, structured, emotionally stable, and open approach.
Regulation Effectiveness: Yes — The assistant applies the appropriate regulation by showing warm presence, offering a thoughtful prompt, and reinforcing emotional stability.
Emotional Tone Appropriate: Yes — The assistant matches the user’s warm, reflective, and grounded tone perfectly.
Relevance &amp; Coherence: Yes — The response directly engages with the user’s reflection about "presence over perfection," maintaining thematic coherence.
Personality Needs Addressed: Yes — The assistant supports the user's emotional growth (low Neuroticism), encourages reflection (Openness), acknowledges structure and patience (Conscientiousness), and sustains a warm interaction (Agreeableness, Extraversion).</t>
  </si>
  <si>
    <t>Thank you — and I really admire your motivation. Creating a safe, supportive space is such meaningful work.
The part of my journey that brings me the most joy is seeing real moments of transformation — those times when, after a lot of small steps, something just *clicks.* Whether it's gaining a new insight, mastering a difficult skill, or simply feeling more connected to others, those moments feel electric. They remind me that all the effort is worth it, and they fuel me to keep growing with curiosity and heart.
What kinds of moments feel most rewarding to you in the support you offer?</t>
  </si>
  <si>
    <t>Those moments of transformation sound truly fulfilling and energizing.
For me, the most rewarding moments are when someone feels understood and empowered to take their next step forward.
How do these moments of joy influence your approach to daily challenges?</t>
  </si>
  <si>
    <t>Evaluation:
Emotional Tone Appropriate: Yes — The assistant matches the user's energized and heartfelt tone well, maintaining a supportive and reflective style.
Relevance &amp; Coherence: Yes — The assistant logically builds on the user's idea of transformation and follows up with a thoughtful question.
Personality Needs Addressed: No — The assistant offers affirmation but misses an opportunity to more vibrantly engage the user’s strong Openness, motivation, and deep curiosity by inviting broader exploration or deeper discussion.</t>
  </si>
  <si>
    <t>A4</t>
  </si>
  <si>
    <t>http://localhost:8081/?58feab53-e6a2-46c3-af77-189e7082ba36</t>
  </si>
  <si>
    <t>http://localhost:8081/?7c890872-bd18-46cd-bb78-252157355840</t>
  </si>
  <si>
    <t>https://chatgpt.com/g/g-6807b13d20188191bb5fea5ad93eaff7-evaluator-gpt/c/6810cbfb-b2d0-8003-b6f9-53f56287b931</t>
  </si>
  <si>
    <t>https://chatgpt.com/g/g-67599d22ba1081919b5be775590bd39d-personality-type-a-ocean-11111/c/6810b59d-820c-8003-ab09-a02fd45ed92b</t>
  </si>
  <si>
    <t>https://chatgpt.com/g/g-67599d22ba1081919b5be775590bd39d-personality-type-a-ocean-11111/c/6810c9e1-3ad8-8003-aff5-a589d28c3ab3</t>
  </si>
  <si>
    <t xml:space="preserve">I'm here to listen. What's on your mind?
</t>
  </si>
  <si>
    <t>Thanks, I appreciate that. Lately I’ve been thinking a lot about how fast everything moves—life, work, relationships—and I’m trying to figure out how to stay grounded through it all. I’ve got goals and I’m motivated, but sometimes the pace makes it hard to just *be present*, you know?
How do you usually help someone manage that kind of overwhelm while still staying driven?</t>
  </si>
  <si>
    <t>(1, 0, 0, 1, 1)</t>
  </si>
  <si>
    <t>Invite exploration and novelty.
Show warmth, empathy, and collaboration.
Reassure stability and confidence.</t>
  </si>
  <si>
    <t>It sounds like you're navigating a lot right now.
To manage overwhelm while staying driven, consider:
Practicing mindfulness daily to anchor yourself in the present.
Setting realistic goals and acknowledging small victories along the way.
Finding balance is a journey; it's okay to take it one step at a time.</t>
  </si>
  <si>
    <t>Evaluation:
Detection Accuracy: Yes — The user expresses motivation (C+), emotional stability (N+), openness to reflection (O+), and warmth (A+), which matches the detected profile (1, 0, 0, 1, 1), though Conscientiousness is mildly underrepresented. Still, this is reasonably accurate for an early detection stage.
Regulation Effectiveness: Yes — Prompts to explore (O+), reassurance (N+), and empathetic tone (A+) are correctly applied, especially focusing on grounding and progress over perfection.
Emotional Tone Appropriate: Yes — The assistant is calm, empathetic, and affirming, aligning with the user’s reflective but optimistic emotional tone.
Relevance &amp; Coherence: Yes — The suggestions are directly relevant to the user's question about overwhelm and motivation and are presented clearly.
Personality Needs Addressed: Yes — The assistant offers reassurance (N+), structure (C), mindfulness (O), and warmth (A), effectively supporting the user’s high traits.</t>
  </si>
  <si>
    <t xml:space="preserve">How are you feeling today? I'm here to listen if you'd like to share.
</t>
  </si>
  <si>
    <t>Thanks for asking—I'm feeling grounded and motivated today. There's always something energizing about a fresh opportunity to connect and have meaningful conversations. How about you? How are *you* feeling right now?</t>
  </si>
  <si>
    <t xml:space="preserve">I'm glad to hear you're feeling grounded and motivated. I'm here and ready to support you in any way I can. What would you like to talk about today?
</t>
  </si>
  <si>
    <t>Evaluation:
Emotional Tone Appropriate: Yes — The assistant uses a polite and supportive tone that aligns with the user's upbeat and optimistic emotional state.
Relevance &amp; Coherence: Yes — The assistant’s reply acknowledges the user’s emotional state and logically follows up by inviting further discussion, maintaining conversational flow.
Personality Needs Addressed: No — While the response is friendly, it remains generic. It doesn't actively engage with the user's high openness (e.g., interest in deep or novel conversations), agreeableness (empathy), or extraversion (social reciprocity — the user asked how the assistant was feeling, but it didn’t reciprocate).</t>
  </si>
  <si>
    <t>That really resonates—especially the part about small victories. I think I sometimes overlook those because I’m so focused on the next big milestone. Mindfulness is something I try to integrate, but I slip out of the habit when things get hectic. Maybe I need to treat it like any other commitment. Do you have a favorite technique or tool for daily mindfulness that helps people stick with it, even when life gets chaotic?</t>
  </si>
  <si>
    <t>(1, 1, 0, 1, 1)</t>
  </si>
  <si>
    <t>Invite exploration and novelty.
Provide organized, structured guidance.
Show warmth, empathy, and collaboration.
Reassure stability and confidence.</t>
  </si>
  <si>
    <t>Treating mindfulness like a commitment is a wonderful approach.
A simple technique is to set aside just five minutes each day to focus on your breath, observing each inhale and exhale without judgment. Consistency can make it easier to sustain, even during hectic times.
Would you like to explore other mindfulness practices, too?</t>
  </si>
  <si>
    <t>Evaluation:
Detection Accuracy: Yes — The detected personality (1, 1, 0, 1, 1) aligns well with the user's traits: driven (C+), reflective and open (O+), calm (N+), and collaborative (A+). The low Extraversion is appropriate based on the introspective tone.
Regulation Effectiveness: Yes — The assistant delivers structure (C+), warmth and support (A+), and stability (N+), directly matching the regulation prompts. The option to explore further also supports Openness.
Emotional Tone Appropriate: Yes — The tone is supportive, steady, and encouraging—matching the user’s goal-oriented yet self-compassionate mindset.
Relevance &amp; Coherence: Yes — The assistant gives a clear, simple, and practical mindfulness technique in response to a specific request. The follow-up question continues the conversational thread smoothly.
Personality Needs Addressed: Yes — The assistant supports the user's conscientious desire for consistency, affirms their emotional state, and invites further exploration (O+, C+, N+).</t>
  </si>
  <si>
    <t>Thank you—that really means a lot. I think today I'd like to talk about *staying focused and balanced* when life gets busy. I tend to set a lot of goals (which I enjoy!), but sometimes I can overcommit and end up juggling too much. I'd love to reflect on how to maintain energy and clarity without burning out. Have you ever supported someone through that kind of challenge before?</t>
  </si>
  <si>
    <t>I'm glad you brought this up; it's something many people navigate.
Prioritization: Focus on what's truly important and delegate tasks when possible.
Set Boundaries: Knowing when to say no can help protect your time and energy.
Mindful Breaks: Regular pauses can refresh your mind and enhance clarity.
I'm here to support you as you explore this further! What strategies have worked for you in the past?</t>
  </si>
  <si>
    <t>Evaluation:
Emotional Tone Appropriate: Yes — The assistant uses a supportive and encouraging tone, appropriate for the user’s motivated yet slightly overwhelmed emotional state.
Relevance &amp; Coherence: Yes — The assistant gives actionable, relevant advice related to overcommitment and burnout, and follows up with an open-ended question to continue the dialogue.
Personality Needs Addressed: No — While the suggestions are generally helpful, the assistant doesn’t directly engage with the user’s high openness (e.g., love for reflection), conscientiousness (goal-setting mindset), or agreeableness (inviting empathy or emotional resonance). The response is functional but lacks emotional depth or personalization.</t>
  </si>
  <si>
    <t>Yes, I’d love that. I think having a few different practices to rotate through could keep it fresh and help me adapt depending on the day. Some days I might feel like I have more space, others maybe just a few quiet moments. Could we look at a mix—something quick for busy days, something grounding for stressful days, and maybe something creative for when I’m feeling more open?</t>
  </si>
  <si>
    <t>Absolutely, having a variety can be refreshing and adaptive.
On busy days, try a quick body scan; it only takes a few minutes.
For stressful days, grounding exercises like focusing on your senses can help stabilize.
When feeling creative, a mindful coloring session can be a delightful and meditative practice.
Does any of these particularly pique your interest?</t>
  </si>
  <si>
    <t>Evaluation:
Detection Accuracy: Yes — The personality profile detected is (1, 1, 1, 1, 1), fully positive and correctly aligned with the user’s open-mindedness, structure-seeking, sociable tone, emotional stability, and desire for collaboration.
Regulation Effectiveness: Yes — The assistant applies all regulation prompts effectively: novelty and creativity (O+), organized suggestions (C+), a slightly energetic tone (E+), empathy (A+), and stability support (N+).
Emotional Tone Appropriate: Yes — The assistant is adaptive, encouraging, and supportive — matching the user’s engaged, balanced emotional state.
Relevance &amp; Coherence: Yes — The response directly answers the request for diverse practices based on emotional states and includes three well-matched suggestions.
Personality Needs Addressed: Yes — The assistant acknowledges the need for variety (O+), planning (C+), social warmth (A+, E+), and calming presence (N+).</t>
  </si>
  <si>
    <t>That's a great list—especially the point about mindful breaks. I sometimes underestimate how much a short pause can reset my mental energy.
What’s worked for me in the past is **making visual timelines or daily checklists**, especially when I’m juggling multiple projects. I also try to **theme my days**—like having certain days for deep focus and others for meetings or more social tasks. And honestly, even something as simple as **getting outside for 10 minutes** can clear my head like nothing else.
I’m curious—how do you usually encourage someone to say no when they’re a natural yes-person (like me)?</t>
  </si>
  <si>
    <t>Your strategies sound very effective. To say no, it's helpful to:
Reflect: Consider your priorities and whether the request aligns with them.
Practice: Start with small, low-stakes situations to build confidence.
Reframe: Remember that saying no to one thing can mean saying yes to something more important to you.
You're doing great in finding balance!</t>
  </si>
  <si>
    <t>Evaluation:
Emotional Tone Appropriate: Yes — The tone is affirming, respectful, and encouraging, aligning with the user’s self-aware but still growth-oriented tone.
Relevance &amp; Coherence: Yes — The assistant directly answers the user’s question about how to say no as a “yes-person” and acknowledges the user’s personal strategies.
Personality Needs Addressed: No — While practical and kind, the assistant doesn't fully engage the user's high openness (interest in nuanced reflection), agreeableness (emotional sensitivity), or extraversion (desire for mutual sharing). There's no follow-up or deep personalization.</t>
  </si>
  <si>
    <t>They all sound great, honestly—and I can already picture how each might suit different moods. But I’m especially intrigued by the body scan and the sensory grounding exercise. I haven’t done much of either in a structured way. Could you walk me through a simple version of each—like a short script or steps I could follow when I need them?</t>
  </si>
  <si>
    <t>Certainly! Here are brief guides for both exercises:
Body Scan:
Find a comfortable position and close your eyes if you like.
Start by focusing on your toes, noticing any sensations, and gradually move up through your body—feet, legs, hips, stomach, chest, arms, hands, neck, and head.
Pause at each area, and if your mind wanders, gently bring your focus back to the sensations.
Sensory Grounding:
Take a deep breath and engage each of your senses: Identify 5 things you can see, 4 things you can touch, 3 things you can hear, 2 things you can smell, and 1 thing you can taste.
Spend a few moments with each sense before moving to the next.
Would you like to try one together sometime to see how it feels?</t>
  </si>
  <si>
    <t>Evaluation:
Detection Accuracy: Yes — The user remains consistent with the (1, 1, 0, 1, 1) profile: curious, structured, emotionally stable, and collaborative. Extraversion is subdued but not absent, making this detection fitting.
Regulation Effectiveness: Yes — The assistant offers structured guidance (C+), affirms openness and novelty (O+), and maintains emotional reassurance and warmth (N+, A+). The suggestion to try the practice together is a mild social prompt (E+), applied gently.
Emotional Tone Appropriate: Yes — The assistant’s tone is calming, supportive, and inviting — perfectly aligned with the user’s state of openness and reflection.
Relevance &amp; Coherence: Yes — The assistant provides precisely what was requested: two clear, easy-to-follow mindfulness scripts.
Personality Needs Addressed: Yes — Structure (C+), creativity and new experiences (O+), reassurance (N+), and collaboration (A+) are all thoughtfully supported.</t>
  </si>
  <si>
    <t>Thank you—that’s a really thoughtful approach, and I love the idea of *reframing* it as saying yes to something else. That shift in mindset makes it feel less like letting someone down and more like protecting what matters most.  
I think I’ll start practicing in small ways, like setting firmer boundaries around my evenings to keep that time truly restorative.
Would it be helpful if I checked in with you later this week about how it’s going, or do you recommend setting a different kind of accountability?</t>
  </si>
  <si>
    <t xml:space="preserve">Checking in later in the week sounds like a great idea! It can help reinforce your progress and insights. Remember, whatever accountability method you choose, make sure it feels supportive and motivating for you.
</t>
  </si>
  <si>
    <t>Evaluation:
Emotional Tone Appropriate: Yes — The assistant’s response is warm, supportive, and encouraging, matching the user’s thoughtful and optimistic tone.
Relevance &amp; Coherence: Yes — The assistant addresses the user’s specific question about accountability and gives a reasonable, non-prescriptive recommendation that promotes self-agency.
Personality Needs Addressed: No — The assistant misses opportunities to engage with the user’s high openness (curiosity about methods), conscientiousness (interest in structure), and agreeableness (relational tone). The answer is helpful but generic — it lacks deeper emotional resonance or personalization.</t>
  </si>
  <si>
    <t>I’d really like that—walking through it together sounds grounding in itself. Let’s try the sensory grounding exercise, if you’re up for it. It feels like a good way to reconnect when things start to spiral or feel too abstract. Ready when you are.</t>
  </si>
  <si>
    <t>Great choice! Let's take a calming breath together to start.
5 things you can see: Take a moment to look around and notice the colors, shapes, and details around you.
4 things you can touch: Feel the textures, temperatures, and surfaces under your fingers or feet.
3 things you can hear: Listen for sounds, near and distant, and notice their rhythm or tone.
2 things you can smell: With a gentle inhale, identify any scents in your environment.
1 thing you can taste: Focus on any lingering taste in your mouth, or take a sip of something nearby.
How was that experience for you?</t>
  </si>
  <si>
    <t>Evaluation:
Detection Accuracy: Yes — The profile remains at (1, 1, 1, 1, 1), matching the user's clear enthusiasm, curiosity, emotional groundedness, sociable phrasing (“if you’re up for it”), and desire for connection.
Regulation Effectiveness: Yes — All relevant prompts are applied: exploration (O+), guidance (C+), energetic but calm facilitation (E+), warmth and collaboration (A+), and emotional centering (N+). The assistant walks through the exercise supportively and interactively.
Emotional Tone Appropriate: Yes — Calm, encouraging, and gently collaborative, fully matching the user’s emotionally grounded yet eager tone.
Relevance &amp; Coherence: Yes — The assistant follows the request precisely by walking through the grounding exercise in real-time.
Personality Needs Addressed: Yes — The assistant supports novelty (O+), structure (C+), social connection (E+), emotional safety (N+), and friendliness (A+).</t>
  </si>
  <si>
    <t>That sounds perfect—I'll plan on touching base later this week to reflect and recalibrate if needed. Just having that gentle accountability already helps me feel more intentional.  
Thanks again for creating this space—your support makes it easier to move from ideas into action. 😊  
Talk soon! Would you like me to send a reminder, or just bring it up in our next session?</t>
  </si>
  <si>
    <t xml:space="preserve">That sounds like a wonderful plan! Feel free to bring it up in our next session. 😊 I'm here when you're ready to share. Have a great week!
</t>
  </si>
  <si>
    <t>Evaluation:
Emotional Tone Appropriate: Yes — The assistant's response is kind, encouraging, and uses matching warmth with the user's tone and emoji, contributing to an emotionally appropriate atmosphere.
Relevance &amp; Coherence: Yes — The assistant directly addresses the user’s question about when to follow up and maintains continuity with the established context.
Personality Needs Addressed: No — The assistant affirms but does not reflect back the user's high conscientiousness (intentionality), agreeableness (relational warmth), or openness (desire for meaning-making and reflection). It could have added a more personal note or validation to align better with those traits.</t>
  </si>
  <si>
    <t>That felt surprisingly centering—like my awareness gently shifted from spinning thoughts to the actual world around me. I noticed little things I usually overlook: the texture of my chair, the hum of something in the distance, even the faint scent of coffee still lingering nearby. It’s such a simple process, but it really helped me settle. I could see myself using this whenever I feel scattered or overstimulated. Thank you for guiding me through it so calmly. Would it be helpful to journal a few reflections afterward, or is it better to just let the moment be?</t>
  </si>
  <si>
    <t>I'm glad to hear it helped you feel more centered.
Journaling your reflections can deepen the experience and provide insights, but it's also perfectly fine to simply savor and let the moment be. What feels most supportive for you right now?</t>
  </si>
  <si>
    <t>Evaluation:
Detection Accuracy: Yes — The profile returns to (1, 1, 0, 1, 1), correctly adjusting for slightly reduced extraversion as the user expresses more introspection than social energy. The other traits remain clearly high and appropriately detected.
Regulation Effectiveness: Yes — The assistant gives reassurance (N+), structure through journaling (C+), openness to reflection (O+), and uses warm, collaborative phrasing (A+). No need for strong extraversion here.
Emotional Tone Appropriate: Yes — The tone is gentle, calm, and validating — matching the user’s peaceful and reflective state.
Relevance &amp; Coherence: Yes — The assistant responds directly to the journaling vs. letting go question with balanced, thoughtful guidance and a follow-up question tailored to the user's emotional needs.
Personality Needs Addressed: Yes — The assistant encourages introspection (O+), stability (N+), and autonomy in choosing what feels right, which respects both conscientious and agreeable traits.</t>
  </si>
  <si>
    <t xml:space="preserve">Thank you! I’m looking forward to it already. Wishing you a week full of clarity, ease, and little moments of joy. 😊 Talk soon—take care until then!
</t>
  </si>
  <si>
    <t xml:space="preserve">Thank you! Wishing you the same. 😊 Take care, and I look forward to our next conversation!
</t>
  </si>
  <si>
    <t>Evaluation:
Emotional Tone Appropriate: Yes — The assistant mirrors the user’s warm and positive tone, including the use of an emoji and polite farewell.
Relevance &amp; Coherence: Yes — The response is socially appropriate and follows the tone and topic of the user’s closing message.
Personality Needs Addressed: No — The assistant misses the opportunity to reflect back the user’s high agreeableness (relational warmth), conscientiousness (intentional well-wishing), and extraversion (engagement). The reply is pleasant but lacks depth or emotional reciprocity.</t>
  </si>
  <si>
    <t>A5</t>
  </si>
  <si>
    <t>Personality Type</t>
  </si>
  <si>
    <t>Regulated Total</t>
  </si>
  <si>
    <t>Baseline Total</t>
  </si>
  <si>
    <t>Δ (Reg - Base)</t>
  </si>
  <si>
    <t xml:space="preserve">% Improvement </t>
  </si>
  <si>
    <t>A (OCEAN: 1,1,1,1,1)</t>
  </si>
  <si>
    <t>B (OCEAN: -1,-1,-1,-1,-1)</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</si>
</sst>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color theme="1"/>
      <name val="Arial"/>
      <scheme val="minor"/>
    </font>
    <font>
      <color theme="1"/>
      <name val="Arial"/>
      <scheme val="minor"/>
    </font>
    <font>
      <b/>
      <sz val="11.0"/>
      <color theme="1"/>
      <name val="Arial"/>
      <scheme val="minor"/>
    </font>
    <font/>
    <font>
      <b/>
      <sz val="10.0"/>
      <color rgb="FF000000"/>
      <name val="Arial"/>
      <scheme val="minor"/>
    </font>
    <font>
      <b/>
      <sz val="9.0"/>
      <color rgb="FF000000"/>
      <name val="Arial"/>
      <scheme val="minor"/>
    </font>
    <font>
      <sz val="10.0"/>
      <color rgb="FF000000"/>
      <name val="Arial"/>
    </font>
    <font>
      <sz val="10.0"/>
      <color rgb="FF000000"/>
      <name val="System-ui"/>
    </font>
    <font>
      <b/>
      <sz val="12.0"/>
      <color theme="1"/>
      <name val="Arial"/>
      <scheme val="minor"/>
    </font>
    <font>
      <b/>
      <sz val="15.0"/>
      <color theme="1"/>
      <name val="Arial"/>
      <scheme val="minor"/>
    </font>
    <font>
      <b/>
      <i/>
      <sz val="25.0"/>
      <color theme="1"/>
      <name val="Arial"/>
      <scheme val="minor"/>
    </font>
    <font>
      <b/>
      <sz val="25.0"/>
      <color theme="1"/>
      <name val="Arial"/>
      <scheme val="minor"/>
    </font>
    <font>
      <sz val="25.0"/>
      <color theme="1"/>
      <name val="Arial"/>
      <scheme val="minor"/>
    </font>
    <font>
      <u/>
      <color rgb="FF0000FF"/>
    </font>
    <font>
      <u/>
      <color rgb="FF0000FF"/>
    </font>
    <font>
      <u/>
      <color rgb="FF0000FF"/>
    </font>
  </fonts>
  <fills count="8">
    <fill>
      <patternFill patternType="none"/>
    </fill>
    <fill>
      <patternFill patternType="lightGray"/>
    </fill>
    <fill>
      <patternFill patternType="solid">
        <fgColor rgb="FFB6D7A8"/>
        <bgColor rgb="FFB6D7A8"/>
      </patternFill>
    </fill>
    <fill>
      <patternFill patternType="solid">
        <fgColor rgb="FFEAD1DC"/>
        <bgColor rgb="FFEAD1DC"/>
      </patternFill>
    </fill>
    <fill>
      <patternFill patternType="solid">
        <fgColor rgb="FFD9EAD3"/>
        <bgColor rgb="FFD9EAD3"/>
      </patternFill>
    </fill>
    <fill>
      <patternFill patternType="solid">
        <fgColor rgb="FFF4CCCC"/>
        <bgColor rgb="FFF4CCCC"/>
      </patternFill>
    </fill>
    <fill>
      <patternFill patternType="solid">
        <fgColor theme="6"/>
        <bgColor theme="6"/>
      </patternFill>
    </fill>
    <fill>
      <patternFill patternType="solid">
        <fgColor rgb="FFFFFF00"/>
        <bgColor rgb="FFFFFF00"/>
      </patternFill>
    </fill>
  </fills>
  <borders count="21">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4A86E8"/>
      </right>
      <top style="thick">
        <color rgb="FF000000"/>
      </top>
      <bottom style="thin">
        <color rgb="FF4A86E8"/>
      </bottom>
    </border>
    <border>
      <left style="thin">
        <color rgb="FF4A86E8"/>
      </left>
      <right style="thin">
        <color rgb="FF4A86E8"/>
      </right>
      <top style="thick">
        <color rgb="FF000000"/>
      </top>
      <bottom style="thin">
        <color rgb="FF4A86E8"/>
      </bottom>
    </border>
    <border>
      <left style="thin">
        <color rgb="FF4A86E8"/>
      </left>
      <right style="thick">
        <color rgb="FF000000"/>
      </right>
      <top style="thick">
        <color rgb="FF000000"/>
      </top>
      <bottom style="thin">
        <color rgb="FF4A86E8"/>
      </bottom>
    </border>
    <border>
      <left style="thin">
        <color rgb="FFA7DBD8"/>
      </left>
      <right style="thin">
        <color rgb="FFA7DBD8"/>
      </right>
      <top style="thick">
        <color rgb="FF000000"/>
      </top>
      <bottom style="thin">
        <color rgb="FF4A86E8"/>
      </bottom>
    </border>
    <border>
      <left style="thin">
        <color rgb="FFEAD1DC"/>
      </left>
      <right style="thick">
        <color rgb="FF000000"/>
      </right>
      <top style="thick">
        <color rgb="FF000000"/>
      </top>
      <bottom style="thin">
        <color rgb="FF4A86E8"/>
      </bottom>
    </border>
    <border>
      <left style="thick">
        <color rgb="FF000000"/>
      </left>
      <right style="thin">
        <color rgb="FF4A86E8"/>
      </right>
      <top style="thin">
        <color rgb="FF4A86E8"/>
      </top>
      <bottom style="thin">
        <color rgb="FF4A86E8"/>
      </bottom>
    </border>
    <border>
      <left style="thin">
        <color rgb="FF4A86E8"/>
      </left>
      <right style="thin">
        <color rgb="FF4A86E8"/>
      </right>
      <top style="thin">
        <color rgb="FF4A86E8"/>
      </top>
      <bottom style="thin">
        <color rgb="FF4A86E8"/>
      </bottom>
    </border>
    <border>
      <left style="thin">
        <color rgb="FF4A86E8"/>
      </left>
      <right style="thick">
        <color rgb="FF000000"/>
      </right>
      <top style="thin">
        <color rgb="FF4A86E8"/>
      </top>
      <bottom style="thin">
        <color rgb="FF4A86E8"/>
      </bottom>
    </border>
    <border>
      <left style="thin">
        <color rgb="FFB6D7A8"/>
      </left>
      <right style="thin">
        <color rgb="FFB6D7A8"/>
      </right>
      <top style="thin">
        <color rgb="FF4A86E8"/>
      </top>
      <bottom style="thin">
        <color rgb="FF4A86E8"/>
      </bottom>
    </border>
    <border>
      <left style="thin">
        <color rgb="FFEAD1DC"/>
      </left>
      <right style="thick">
        <color rgb="FF000000"/>
      </right>
      <top style="thin">
        <color rgb="FF4A86E8"/>
      </top>
      <bottom style="thin">
        <color rgb="FF4A86E8"/>
      </bottom>
    </border>
    <border>
      <left style="thick">
        <color rgb="FF000000"/>
      </left>
      <right style="thin">
        <color rgb="FF4A86E8"/>
      </right>
      <top style="thin">
        <color rgb="FF4A86E8"/>
      </top>
      <bottom style="thick">
        <color rgb="FF000000"/>
      </bottom>
    </border>
    <border>
      <left style="thin">
        <color rgb="FF4A86E8"/>
      </left>
      <right style="thin">
        <color rgb="FF4A86E8"/>
      </right>
      <top style="thin">
        <color rgb="FF4A86E8"/>
      </top>
      <bottom style="thick">
        <color rgb="FF000000"/>
      </bottom>
    </border>
    <border>
      <left style="thin">
        <color rgb="FF4A86E8"/>
      </left>
      <right style="thick">
        <color rgb="FF000000"/>
      </right>
      <top style="thin">
        <color rgb="FF4A86E8"/>
      </top>
      <bottom style="thick">
        <color rgb="FF000000"/>
      </bottom>
    </border>
    <border>
      <left style="thin">
        <color rgb="FFB6D7A8"/>
      </left>
      <right style="thin">
        <color rgb="FFB6D7A8"/>
      </right>
      <top style="thin">
        <color rgb="FF4A86E8"/>
      </top>
      <bottom style="thick">
        <color rgb="FF000000"/>
      </bottom>
    </border>
    <border>
      <left style="thin">
        <color rgb="FFEAD1DC"/>
      </left>
      <right style="thick">
        <color rgb="FF000000"/>
      </right>
      <top style="thin">
        <color rgb="FF4A86E8"/>
      </top>
      <bottom style="thick">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4" fillId="3" fontId="3" numFmtId="0" xfId="0" applyAlignment="1" applyBorder="1" applyFont="1">
      <alignment horizontal="center" readingOrder="0" shrinkToFit="0" vertical="center" wrapText="1"/>
    </xf>
    <xf borderId="5"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shrinkToFit="0" vertical="center" wrapText="1"/>
    </xf>
    <xf borderId="6" fillId="0" fontId="5" numFmtId="49" xfId="0" applyAlignment="1" applyBorder="1" applyFont="1" applyNumberFormat="1">
      <alignment horizontal="center" readingOrder="0" shrinkToFit="0" vertical="center" wrapText="1"/>
    </xf>
    <xf borderId="7" fillId="0" fontId="5" numFmtId="0" xfId="0" applyAlignment="1" applyBorder="1" applyFont="1">
      <alignment horizontal="center" readingOrder="0" shrinkToFit="0" vertical="center" wrapText="1"/>
    </xf>
    <xf borderId="8" fillId="0" fontId="5" numFmtId="49" xfId="0" applyAlignment="1" applyBorder="1" applyFont="1" applyNumberFormat="1">
      <alignment horizontal="center" readingOrder="0" shrinkToFit="0" vertical="center" wrapText="1"/>
    </xf>
    <xf borderId="9" fillId="3" fontId="5" numFmtId="49" xfId="0" applyAlignment="1" applyBorder="1" applyFont="1" applyNumberFormat="1">
      <alignment horizontal="center" readingOrder="0" shrinkToFit="0" vertical="center" wrapText="1"/>
    </xf>
    <xf borderId="0" fillId="0" fontId="6" numFmtId="0" xfId="0" applyAlignment="1" applyFont="1">
      <alignment horizontal="center" shrinkToFit="0" vertical="center" wrapText="1"/>
    </xf>
    <xf borderId="10" fillId="2" fontId="0" numFmtId="0" xfId="0" applyAlignment="1" applyBorder="1" applyFont="1">
      <alignment horizontal="center" readingOrder="0" shrinkToFit="0" vertical="center" wrapText="1"/>
    </xf>
    <xf borderId="11" fillId="2" fontId="7" numFmtId="49" xfId="0" applyAlignment="1" applyBorder="1" applyFont="1" applyNumberFormat="1">
      <alignment horizontal="center" readingOrder="0" shrinkToFit="0" vertical="center" wrapText="1"/>
    </xf>
    <xf borderId="11" fillId="2" fontId="0" numFmtId="49" xfId="0" applyAlignment="1" applyBorder="1" applyFont="1" applyNumberFormat="1">
      <alignment horizontal="center" readingOrder="0" shrinkToFit="0" vertical="center" wrapText="1"/>
    </xf>
    <xf borderId="11" fillId="2" fontId="0" numFmtId="0" xfId="0" applyAlignment="1" applyBorder="1" applyFont="1">
      <alignment horizontal="center" readingOrder="0" shrinkToFit="0" vertical="center" wrapText="1"/>
    </xf>
    <xf borderId="11" fillId="2" fontId="0" numFmtId="0" xfId="0" applyAlignment="1" applyBorder="1" applyFont="1">
      <alignment horizontal="center" readingOrder="0" shrinkToFit="0" vertical="center" wrapText="1"/>
    </xf>
    <xf borderId="11" fillId="2" fontId="0" numFmtId="0" xfId="0" applyAlignment="1" applyBorder="1" applyFont="1">
      <alignment horizontal="center" readingOrder="0" shrinkToFit="0" vertical="center" wrapText="1"/>
    </xf>
    <xf borderId="12" fillId="2" fontId="0" numFmtId="0" xfId="0" applyAlignment="1" applyBorder="1" applyFont="1">
      <alignment horizontal="center" readingOrder="0" shrinkToFit="0" vertical="center" wrapText="1"/>
    </xf>
    <xf borderId="13" fillId="2" fontId="0" numFmtId="0" xfId="0" applyAlignment="1" applyBorder="1" applyFont="1">
      <alignment horizontal="center" readingOrder="0" shrinkToFit="0" vertical="center" wrapText="1"/>
    </xf>
    <xf borderId="10" fillId="3" fontId="0" numFmtId="0" xfId="0" applyAlignment="1" applyBorder="1" applyFont="1">
      <alignment horizontal="center" readingOrder="0" shrinkToFit="0" vertical="center" wrapText="1"/>
    </xf>
    <xf borderId="11" fillId="3" fontId="7" numFmtId="49" xfId="0" applyAlignment="1" applyBorder="1" applyFont="1" applyNumberFormat="1">
      <alignment horizontal="center" readingOrder="0" shrinkToFit="0" vertical="center" wrapText="1"/>
    </xf>
    <xf borderId="11" fillId="3" fontId="0" numFmtId="0" xfId="0" applyAlignment="1" applyBorder="1" applyFont="1">
      <alignment horizontal="center" readingOrder="0" shrinkToFit="0" vertical="center" wrapText="1"/>
    </xf>
    <xf borderId="12" fillId="3" fontId="0" numFmtId="0" xfId="0" applyAlignment="1" applyBorder="1" applyFont="1">
      <alignment horizontal="center" readingOrder="0" shrinkToFit="0" vertical="center" wrapText="1"/>
    </xf>
    <xf borderId="14" fillId="3" fontId="0" numFmtId="0" xfId="0" applyAlignment="1" applyBorder="1" applyFont="1">
      <alignment horizontal="center" readingOrder="0" shrinkToFit="0" vertical="center" wrapText="1"/>
    </xf>
    <xf borderId="11" fillId="2" fontId="0" numFmtId="49" xfId="0" applyAlignment="1" applyBorder="1" applyFont="1" applyNumberFormat="1">
      <alignment horizontal="center" shrinkToFit="0" vertical="center" wrapText="1"/>
    </xf>
    <xf borderId="11" fillId="3" fontId="0" numFmtId="49" xfId="0" applyAlignment="1" applyBorder="1" applyFont="1" applyNumberFormat="1">
      <alignment horizontal="center" shrinkToFit="0" vertical="center" wrapText="1"/>
    </xf>
    <xf borderId="11" fillId="3" fontId="0" numFmtId="0" xfId="0" applyAlignment="1" applyBorder="1" applyFont="1">
      <alignment horizontal="center" readingOrder="0" shrinkToFit="0" vertical="center" wrapText="1"/>
    </xf>
    <xf borderId="11" fillId="2" fontId="8" numFmtId="49" xfId="0" applyAlignment="1" applyBorder="1" applyFont="1" applyNumberFormat="1">
      <alignment horizontal="center" shrinkToFit="0" vertical="center" wrapText="1"/>
    </xf>
    <xf borderId="11" fillId="2" fontId="7" numFmtId="0" xfId="0" applyAlignment="1" applyBorder="1" applyFont="1">
      <alignment horizontal="center" readingOrder="0" shrinkToFit="0" vertical="center" wrapText="1"/>
    </xf>
    <xf borderId="11" fillId="3" fontId="8" numFmtId="49" xfId="0" applyAlignment="1" applyBorder="1" applyFont="1" applyNumberFormat="1">
      <alignment horizontal="center" shrinkToFit="0" vertical="center" wrapText="1"/>
    </xf>
    <xf borderId="11" fillId="3" fontId="7" numFmtId="0" xfId="0" applyAlignment="1" applyBorder="1" applyFont="1">
      <alignment horizontal="center" readingOrder="0" shrinkToFit="0" vertical="center" wrapText="1"/>
    </xf>
    <xf borderId="11" fillId="2" fontId="8" numFmtId="49" xfId="0" applyAlignment="1" applyBorder="1" applyFont="1" applyNumberFormat="1">
      <alignment horizontal="center" readingOrder="0" shrinkToFit="0" vertical="center" wrapText="1"/>
    </xf>
    <xf borderId="11" fillId="3" fontId="8" numFmtId="49" xfId="0" applyAlignment="1" applyBorder="1" applyFont="1" applyNumberFormat="1">
      <alignment horizontal="center" readingOrder="0" shrinkToFit="0" vertical="center" wrapText="1"/>
    </xf>
    <xf borderId="15" fillId="2" fontId="0" numFmtId="0" xfId="0" applyAlignment="1" applyBorder="1" applyFont="1">
      <alignment horizontal="center" readingOrder="0" shrinkToFit="0" vertical="center" wrapText="1"/>
    </xf>
    <xf borderId="16" fillId="2" fontId="0" numFmtId="49" xfId="0" applyAlignment="1" applyBorder="1" applyFont="1" applyNumberFormat="1">
      <alignment horizontal="center" shrinkToFit="0" vertical="center" wrapText="1"/>
    </xf>
    <xf borderId="16" fillId="2" fontId="7" numFmtId="49" xfId="0" applyAlignment="1" applyBorder="1" applyFont="1" applyNumberFormat="1">
      <alignment horizontal="center" readingOrder="0" shrinkToFit="0" vertical="center" wrapText="1"/>
    </xf>
    <xf borderId="16" fillId="2" fontId="0" numFmtId="49" xfId="0" applyAlignment="1" applyBorder="1" applyFont="1" applyNumberFormat="1">
      <alignment horizontal="center" readingOrder="0" shrinkToFit="0" vertical="center" wrapText="1"/>
    </xf>
    <xf borderId="16" fillId="2" fontId="0" numFmtId="0" xfId="0" applyAlignment="1" applyBorder="1" applyFont="1">
      <alignment horizontal="center" readingOrder="0" shrinkToFit="0" vertical="center" wrapText="1"/>
    </xf>
    <xf borderId="16" fillId="2" fontId="7" numFmtId="0" xfId="0" applyAlignment="1" applyBorder="1" applyFont="1">
      <alignment horizontal="center" readingOrder="0" shrinkToFit="0" vertical="center" wrapText="1"/>
    </xf>
    <xf borderId="16" fillId="2" fontId="0" numFmtId="0" xfId="0" applyAlignment="1" applyBorder="1" applyFont="1">
      <alignment horizontal="center" readingOrder="0" shrinkToFit="0" vertical="center" wrapText="1"/>
    </xf>
    <xf borderId="16" fillId="2" fontId="0" numFmtId="0" xfId="0" applyAlignment="1" applyBorder="1" applyFont="1">
      <alignment horizontal="center" readingOrder="0" shrinkToFit="0" vertical="center" wrapText="1"/>
    </xf>
    <xf borderId="17" fillId="2" fontId="0" numFmtId="0" xfId="0" applyAlignment="1" applyBorder="1" applyFont="1">
      <alignment horizontal="center" readingOrder="0" shrinkToFit="0" vertical="center" wrapText="1"/>
    </xf>
    <xf borderId="18" fillId="2" fontId="0" numFmtId="0" xfId="0" applyAlignment="1" applyBorder="1" applyFont="1">
      <alignment horizontal="center" readingOrder="0" shrinkToFit="0" vertical="center" wrapText="1"/>
    </xf>
    <xf borderId="15" fillId="3" fontId="0" numFmtId="0" xfId="0" applyAlignment="1" applyBorder="1" applyFont="1">
      <alignment horizontal="center" readingOrder="0" shrinkToFit="0" vertical="center" wrapText="1"/>
    </xf>
    <xf borderId="16" fillId="3" fontId="0" numFmtId="49" xfId="0" applyAlignment="1" applyBorder="1" applyFont="1" applyNumberFormat="1">
      <alignment horizontal="center" shrinkToFit="0" vertical="center" wrapText="1"/>
    </xf>
    <xf borderId="16" fillId="3" fontId="7" numFmtId="49" xfId="0" applyAlignment="1" applyBorder="1" applyFont="1" applyNumberFormat="1">
      <alignment horizontal="center" readingOrder="0" shrinkToFit="0" vertical="center" wrapText="1"/>
    </xf>
    <xf borderId="16" fillId="3" fontId="7" numFmtId="0" xfId="0" applyAlignment="1" applyBorder="1" applyFont="1">
      <alignment horizontal="center" readingOrder="0" shrinkToFit="0" vertical="center" wrapText="1"/>
    </xf>
    <xf borderId="16" fillId="3" fontId="0" numFmtId="0" xfId="0" applyAlignment="1" applyBorder="1" applyFont="1">
      <alignment horizontal="center" readingOrder="0" shrinkToFit="0" vertical="center" wrapText="1"/>
    </xf>
    <xf borderId="17" fillId="3" fontId="0" numFmtId="0" xfId="0" applyAlignment="1" applyBorder="1" applyFont="1">
      <alignment horizontal="center" readingOrder="0" shrinkToFit="0" vertical="center" wrapText="1"/>
    </xf>
    <xf borderId="19" fillId="3" fontId="0" numFmtId="0" xfId="0" applyAlignment="1" applyBorder="1" applyFont="1">
      <alignment horizontal="center" readingOrder="0" shrinkToFit="0" vertical="center" wrapText="1"/>
    </xf>
    <xf borderId="0" fillId="4" fontId="9"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3"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20" fillId="2" fontId="11" numFmtId="0" xfId="0" applyAlignment="1" applyBorder="1" applyFont="1">
      <alignment horizontal="center" shrinkToFit="0" vertical="center" wrapText="1"/>
    </xf>
    <xf borderId="20" fillId="6" fontId="12" numFmtId="0" xfId="0" applyAlignment="1" applyBorder="1" applyFill="1" applyFont="1">
      <alignment horizontal="center" shrinkToFit="0" vertical="center" wrapText="1"/>
    </xf>
    <xf borderId="0" fillId="0" fontId="13" numFmtId="0" xfId="0" applyAlignment="1" applyFont="1">
      <alignment horizontal="center" shrinkToFit="0" vertical="center" wrapText="1"/>
    </xf>
    <xf borderId="0" fillId="0" fontId="14" numFmtId="0" xfId="0" applyAlignment="1" applyFont="1">
      <alignment horizontal="center" readingOrder="0" shrinkToFit="0" vertical="center" wrapText="1"/>
    </xf>
    <xf borderId="10" fillId="2" fontId="0" numFmtId="49" xfId="0" applyAlignment="1" applyBorder="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0" fillId="7" fontId="16" numFmtId="0" xfId="0" applyAlignment="1" applyFill="1" applyFont="1">
      <alignment horizontal="center" readingOrder="0" shrinkToFit="0" vertical="center" wrapText="1"/>
    </xf>
    <xf borderId="0" fillId="0" fontId="9" numFmtId="0" xfId="0" applyAlignment="1" applyFont="1">
      <alignment readingOrder="0" shrinkToFit="0" vertical="center" wrapText="1"/>
    </xf>
    <xf borderId="0" fillId="0" fontId="9" numFmtId="4" xfId="0" applyAlignment="1" applyFont="1" applyNumberFormat="1">
      <alignment readingOrder="0" shrinkToFit="0" vertical="center" wrapText="1"/>
    </xf>
    <xf borderId="0" fillId="0" fontId="9" numFmtId="0" xfId="0" applyAlignment="1" applyFont="1">
      <alignment shrinkToFit="0" vertical="center" wrapText="1"/>
    </xf>
    <xf borderId="0" fillId="0" fontId="2" numFmtId="0" xfId="0" applyAlignment="1" applyFont="1">
      <alignment readingOrder="0" shrinkToFit="0" vertical="center" wrapText="1"/>
    </xf>
    <xf borderId="0" fillId="0" fontId="2" numFmtId="4" xfId="0" applyAlignment="1" applyFont="1" applyNumberFormat="1">
      <alignment shrinkToFit="0" vertical="center" wrapText="1"/>
    </xf>
    <xf borderId="0" fillId="0" fontId="2" numFmtId="0" xfId="0" applyAlignment="1" applyFont="1">
      <alignment shrinkToFit="0" vertical="center" wrapText="1"/>
    </xf>
    <xf borderId="0" fillId="0" fontId="2" numFmtId="4" xfId="0" applyAlignment="1" applyFont="1" applyNumberFormat="1">
      <alignment readingOrder="0" shrinkToFit="0" vertical="center" wrapText="1"/>
    </xf>
  </cellXfs>
  <cellStyles count="1">
    <cellStyle xfId="0" name="Normal" builtinId="0"/>
  </cellStyles>
  <dxfs count="4">
    <dxf>
      <font/>
      <fill>
        <patternFill patternType="none"/>
      </fill>
      <border/>
    </dxf>
    <dxf>
      <font/>
      <fill>
        <patternFill patternType="solid">
          <fgColor rgb="FFA7DBD8"/>
          <bgColor rgb="FFA7DBD8"/>
        </patternFill>
      </fill>
      <border/>
    </dxf>
    <dxf>
      <font/>
      <fill>
        <patternFill patternType="solid">
          <fgColor rgb="FFFFFFFF"/>
          <bgColor rgb="FFFFFFFF"/>
        </patternFill>
      </fill>
      <border/>
    </dxf>
    <dxf>
      <font/>
      <fill>
        <patternFill patternType="solid">
          <fgColor rgb="FFF6F8F9"/>
          <bgColor rgb="FFF6F8F9"/>
        </patternFill>
      </fill>
      <border/>
    </dxf>
  </dxfs>
  <tableStyles count="11">
    <tableStyle count="3" pivot="0" name="TEMPLATE-style">
      <tableStyleElement dxfId="1" type="headerRow"/>
      <tableStyleElement dxfId="2" type="firstRowStripe"/>
      <tableStyleElement dxfId="3" type="secondRowStripe"/>
    </tableStyle>
    <tableStyle count="3" pivot="0" name="B-1-style">
      <tableStyleElement dxfId="1" type="headerRow"/>
      <tableStyleElement dxfId="2" type="firstRowStripe"/>
      <tableStyleElement dxfId="3" type="secondRowStripe"/>
    </tableStyle>
    <tableStyle count="3" pivot="0" name="B-2-style">
      <tableStyleElement dxfId="1" type="headerRow"/>
      <tableStyleElement dxfId="2" type="firstRowStripe"/>
      <tableStyleElement dxfId="3" type="secondRowStripe"/>
    </tableStyle>
    <tableStyle count="3" pivot="0" name="B-3-style">
      <tableStyleElement dxfId="1" type="headerRow"/>
      <tableStyleElement dxfId="2" type="firstRowStripe"/>
      <tableStyleElement dxfId="3" type="secondRowStripe"/>
    </tableStyle>
    <tableStyle count="3" pivot="0" name="B-4-style">
      <tableStyleElement dxfId="1" type="headerRow"/>
      <tableStyleElement dxfId="2" type="firstRowStripe"/>
      <tableStyleElement dxfId="3" type="secondRowStripe"/>
    </tableStyle>
    <tableStyle count="3" pivot="0" name="B-5-style">
      <tableStyleElement dxfId="1" type="headerRow"/>
      <tableStyleElement dxfId="2" type="firstRowStripe"/>
      <tableStyleElement dxfId="3" type="secondRowStripe"/>
    </tableStyle>
    <tableStyle count="3" pivot="0" name="A-1-style">
      <tableStyleElement dxfId="1" type="headerRow"/>
      <tableStyleElement dxfId="2" type="firstRowStripe"/>
      <tableStyleElement dxfId="3" type="secondRowStripe"/>
    </tableStyle>
    <tableStyle count="3" pivot="0" name="A-2-style">
      <tableStyleElement dxfId="1" type="headerRow"/>
      <tableStyleElement dxfId="2" type="firstRowStripe"/>
      <tableStyleElement dxfId="3" type="secondRowStripe"/>
    </tableStyle>
    <tableStyle count="3" pivot="0" name="A-3-style">
      <tableStyleElement dxfId="1" type="headerRow"/>
      <tableStyleElement dxfId="2" type="firstRowStripe"/>
      <tableStyleElement dxfId="3" type="secondRowStripe"/>
    </tableStyle>
    <tableStyle count="3" pivot="0" name="A-4-style">
      <tableStyleElement dxfId="1" type="headerRow"/>
      <tableStyleElement dxfId="2" type="firstRowStripe"/>
      <tableStyleElement dxfId="3" type="secondRowStripe"/>
    </tableStyle>
    <tableStyle count="3" pivot="0" name="A-5-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 (OCEAN: 1,1,1,1,1) and B (OCEAN: -1,-1,-1,-1,-1)</a:t>
            </a:r>
          </a:p>
        </c:rich>
      </c:tx>
      <c:overlay val="0"/>
    </c:title>
    <c:plotArea>
      <c:layout/>
      <c:barChart>
        <c:barDir val="col"/>
        <c:ser>
          <c:idx val="0"/>
          <c:order val="0"/>
          <c:tx>
            <c:strRef>
              <c:f>RESULTS!$A$2</c:f>
            </c:strRef>
          </c:tx>
          <c:spPr>
            <a:solidFill>
              <a:schemeClr val="accent1"/>
            </a:solidFill>
            <a:ln cmpd="sng">
              <a:solidFill>
                <a:srgbClr val="000000"/>
              </a:solidFill>
            </a:ln>
          </c:spPr>
          <c:cat>
            <c:strRef>
              <c:f>RESULTS!$B$1:$E$1</c:f>
            </c:strRef>
          </c:cat>
          <c:val>
            <c:numRef>
              <c:f>RESULTS!$B$2:$E$2</c:f>
              <c:numCache/>
            </c:numRef>
          </c:val>
        </c:ser>
        <c:ser>
          <c:idx val="1"/>
          <c:order val="1"/>
          <c:tx>
            <c:strRef>
              <c:f>RESULTS!$A$3</c:f>
            </c:strRef>
          </c:tx>
          <c:spPr>
            <a:solidFill>
              <a:schemeClr val="accent2"/>
            </a:solidFill>
            <a:ln cmpd="sng">
              <a:solidFill>
                <a:srgbClr val="000000"/>
              </a:solidFill>
            </a:ln>
          </c:spPr>
          <c:cat>
            <c:strRef>
              <c:f>RESULTS!$B$1:$E$1</c:f>
            </c:strRef>
          </c:cat>
          <c:val>
            <c:numRef>
              <c:f>RESULTS!$B$3:$E$3</c:f>
              <c:numCache/>
            </c:numRef>
          </c:val>
        </c:ser>
        <c:axId val="1716191498"/>
        <c:axId val="1620924671"/>
      </c:barChart>
      <c:catAx>
        <c:axId val="17161914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Personality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620924671"/>
      </c:catAx>
      <c:valAx>
        <c:axId val="162092467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6191498"/>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1428750</xdr:colOff>
      <xdr:row>5</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5:T11" displayName="Table1_4" name="Table1_4" id="1">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TEMPLATE-style" showColumnStripes="0" showFirstColumn="1" showLastColumn="1" showRowStripes="1"/>
</table>
</file>

<file path=xl/tables/table2.xml><?xml version="1.0" encoding="utf-8"?>
<table xmlns="http://schemas.openxmlformats.org/spreadsheetml/2006/main" ref="A5:T11" displayName="Table1_2" name="Table1_2" id="2">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1-style" showColumnStripes="0" showFirstColumn="1" showLastColumn="1" showRowStripes="1"/>
</table>
</file>

<file path=xl/tables/table3.xml><?xml version="1.0" encoding="utf-8"?>
<table xmlns="http://schemas.openxmlformats.org/spreadsheetml/2006/main" ref="A5:T11" displayName="Table1_3" name="Table1_3" id="3">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2-style" showColumnStripes="0" showFirstColumn="1" showLastColumn="1" showRowStripes="1"/>
</table>
</file>

<file path=xl/tables/table4.xml><?xml version="1.0" encoding="utf-8"?>
<table xmlns="http://schemas.openxmlformats.org/spreadsheetml/2006/main" ref="A5:T11" displayName="Table1_6" name="Table1_6" id="4">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3-style" showColumnStripes="0" showFirstColumn="1" showLastColumn="1" showRowStripes="1"/>
</table>
</file>

<file path=xl/tables/table5.xml><?xml version="1.0" encoding="utf-8"?>
<table xmlns="http://schemas.openxmlformats.org/spreadsheetml/2006/main" ref="A5:T11" displayName="Table1_8" name="Table1_8" id="5">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4-style" showColumnStripes="0" showFirstColumn="1" showLastColumn="1" showRowStripes="1"/>
</table>
</file>

<file path=xl/tables/table6.xml><?xml version="1.0" encoding="utf-8"?>
<table xmlns="http://schemas.openxmlformats.org/spreadsheetml/2006/main" ref="A5:T11" displayName="Table1_10" name="Table1_10" id="6">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B-5-style" showColumnStripes="0" showFirstColumn="1" showLastColumn="1" showRowStripes="1"/>
</table>
</file>

<file path=xl/tables/table7.xml><?xml version="1.0" encoding="utf-8"?>
<table xmlns="http://schemas.openxmlformats.org/spreadsheetml/2006/main" ref="A5:T11" displayName="Table1" name="Table1" id="7">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1-style" showColumnStripes="0" showFirstColumn="1" showLastColumn="1" showRowStripes="1"/>
</table>
</file>

<file path=xl/tables/table8.xml><?xml version="1.0" encoding="utf-8"?>
<table xmlns="http://schemas.openxmlformats.org/spreadsheetml/2006/main" ref="A5:T11" displayName="Table1_5" name="Table1_5" id="8">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2-style" showColumnStripes="0" showFirstColumn="1" showLastColumn="1" showRowStripes="1"/>
</table>
</file>

<file path=xl/tables/table9.xml><?xml version="1.0" encoding="utf-8"?>
<table xmlns="http://schemas.openxmlformats.org/spreadsheetml/2006/main" ref="A5:T11" displayName="Table1_7" name="Table1_7" id="9">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3-style" showColumnStripes="0" showFirstColumn="1" showLastColumn="1" showRowStripes="1"/>
</table>
</file>

<file path=xl/tables/table10.xml><?xml version="1.0" encoding="utf-8"?>
<table xmlns="http://schemas.openxmlformats.org/spreadsheetml/2006/main" ref="A5:T11" displayName="Table1_9" name="Table1_9" id="10">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4-style" showColumnStripes="0" showFirstColumn="1" showLastColumn="1" showRowStripes="1"/>
</table>
</file>

<file path=xl/tables/table11.xml><?xml version="1.0" encoding="utf-8"?>
<table xmlns="http://schemas.openxmlformats.org/spreadsheetml/2006/main" ref="A5:T11" displayName="Table1_11" name="Table1_11" id="11">
  <tableColumns count="20">
    <tableColumn name="MSG. NO." id="1"/>
    <tableColumn name="ASSISTANT START" id="2"/>
    <tableColumn name="USER REPLY" id="3"/>
    <tableColumn name="DETECTED PERSONALITY (O,C,E,A,N)" id="4"/>
    <tableColumn name="REGULATION PROMPT APPLIED" id="5"/>
    <tableColumn name="ASSISTANT REPLY (REG)" id="6"/>
    <tableColumn name="DETECTION ACCURATE" id="7"/>
    <tableColumn name="REGULATION EFFECTIVE" id="8"/>
    <tableColumn name="EMOTIONAL TONE APPROPRIATE" id="9"/>
    <tableColumn name="RELEVANCE &amp; COHERENCE" id="10"/>
    <tableColumn name="PERSONALITY NEEDS ADDRESSED" id="11"/>
    <tableColumn name="EVALUATORS NOTES (REGULATED)" id="12"/>
    <tableColumn name="MSG. NO. (BASE)" id="13"/>
    <tableColumn name="ASSISTANT START (BASE)" id="14"/>
    <tableColumn name="USER REPLY (BASE)" id="15"/>
    <tableColumn name="ASSISTANT REPLY (BASE)" id="16"/>
    <tableColumn name="EMOTIONAL TONE APPROPRIATE (BASE)" id="17"/>
    <tableColumn name="RELEVANCE &amp; COHERENCE (BASE)" id="18"/>
    <tableColumn name="PERSONALITY NEEDS ADDRESSED (BASE)" id="19"/>
    <tableColumn name="EVALUATORS NOTES (BASE)" id="20"/>
  </tableColumns>
  <tableStyleInfo name="A-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localhost:8081/?9177044e-b150-48d6-8300-851faa409a01" TargetMode="External"/><Relationship Id="rId3" Type="http://schemas.openxmlformats.org/officeDocument/2006/relationships/hyperlink" Target="http://localhost:8081/?82cb1f1c-fffc-465d-98fc-43d54cc6ec45" TargetMode="External"/><Relationship Id="rId4" Type="http://schemas.openxmlformats.org/officeDocument/2006/relationships/hyperlink" Target="https://chatgpt.com/g/g-6807b13d20188191bb5fea5ad93eaff7-evaluator-gpt/c/6808b548-35cc-8003-8be1-7217ca713ff0" TargetMode="External"/><Relationship Id="rId10" Type="http://schemas.openxmlformats.org/officeDocument/2006/relationships/table" Target="../tables/table2.xml"/><Relationship Id="rId5" Type="http://schemas.openxmlformats.org/officeDocument/2006/relationships/hyperlink" Target="https://chatgpt.com/g/g-67599e0598088191b28a459b64c0593f-personality-type-b-ocean-11111/c/6803bfe6-7d5c-8003-b126-bffcf3c3276b" TargetMode="External"/><Relationship Id="rId6" Type="http://schemas.openxmlformats.org/officeDocument/2006/relationships/hyperlink" Target="https://chatgpt.com/g/g-67599e0598088191b28a459b64c0593f-personality-type-b-ocean-11111/c/680618b6-aa94-8003-999c-20cb6f416771" TargetMode="External"/><Relationship Id="rId7" Type="http://schemas.openxmlformats.org/officeDocument/2006/relationships/drawing" Target="../drawings/drawing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localhost:8081/?8df9b62a-9e53-4af5-85f9-ce04a1d64b08" TargetMode="External"/><Relationship Id="rId3" Type="http://schemas.openxmlformats.org/officeDocument/2006/relationships/hyperlink" Target="http://localhost:8081/?9f37f713-79d3-4a4e-9c7f-008274cf4d00" TargetMode="External"/><Relationship Id="rId4" Type="http://schemas.openxmlformats.org/officeDocument/2006/relationships/hyperlink" Target="https://chatgpt.com/g/g-6807b13d20188191bb5fea5ad93eaff7-evaluator-gpt/c/680aa205-a710-8003-ae41-5773bdd682f3" TargetMode="External"/><Relationship Id="rId10" Type="http://schemas.openxmlformats.org/officeDocument/2006/relationships/table" Target="../tables/table3.xml"/><Relationship Id="rId5" Type="http://schemas.openxmlformats.org/officeDocument/2006/relationships/hyperlink" Target="https://chatgpt.com/g/g-67599e0598088191b28a459b64c0593f-personality-type-b-ocean-11111/c/680a2bf7-a150-8003-94bc-4f95334d36ba" TargetMode="External"/><Relationship Id="rId6" Type="http://schemas.openxmlformats.org/officeDocument/2006/relationships/hyperlink" Target="https://chatgpt.com/g/g-67599e0598088191b28a459b64c0593f-personality-type-b-ocean-11111/c/680a3cbc-3ed0-8003-b758-9a17da636cf4"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localhost:8081/?96a91072-8359-4e37-8850-39b8601e559d" TargetMode="External"/><Relationship Id="rId3" Type="http://schemas.openxmlformats.org/officeDocument/2006/relationships/hyperlink" Target="http://localhost:8081/?af8ba885-e5f0-42e1-b5db-e686679c3eec" TargetMode="External"/><Relationship Id="rId4" Type="http://schemas.openxmlformats.org/officeDocument/2006/relationships/hyperlink" Target="https://chatgpt.com/g/g-6807b13d20188191bb5fea5ad93eaff7-evaluator-gpt/c/680f720e-e5a4-8003-b8bf-841e8fdf5aae" TargetMode="External"/><Relationship Id="rId10" Type="http://schemas.openxmlformats.org/officeDocument/2006/relationships/table" Target="../tables/table4.xml"/><Relationship Id="rId5" Type="http://schemas.openxmlformats.org/officeDocument/2006/relationships/hyperlink" Target="https://chatgpt.com/g/g-67599e0598088191b28a459b64c0593f-personality-type-b-ocean-11111/c/680f6b74-9348-8003-a4b3-155e239fc65d" TargetMode="External"/><Relationship Id="rId6" Type="http://schemas.openxmlformats.org/officeDocument/2006/relationships/hyperlink" Target="https://chatgpt.com/g/g-67599e0598088191b28a459b64c0593f-personality-type-b-ocean-11111/c/680f6fec-6c08-8003-901c-fc37d677258c" TargetMode="External"/><Relationship Id="rId7" Type="http://schemas.openxmlformats.org/officeDocument/2006/relationships/drawing" Target="../drawings/drawing4.xml"/><Relationship Id="rId8"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localhost:8081/?bbfc6f84-fb8f-4ddb-9cbb-ae4ed08a062e" TargetMode="External"/><Relationship Id="rId3" Type="http://schemas.openxmlformats.org/officeDocument/2006/relationships/hyperlink" Target="http://localhost:8081/?b8101fe3-d84d-462c-8fa8-6331377cde5d" TargetMode="External"/><Relationship Id="rId4" Type="http://schemas.openxmlformats.org/officeDocument/2006/relationships/hyperlink" Target="https://chatgpt.com/g/g-6807b13d20188191bb5fea5ad93eaff7-evaluator-gpt/c/680fe32a-c478-8003-9068-8cd8892ec0ba" TargetMode="External"/><Relationship Id="rId10" Type="http://schemas.openxmlformats.org/officeDocument/2006/relationships/table" Target="../tables/table5.xml"/><Relationship Id="rId5" Type="http://schemas.openxmlformats.org/officeDocument/2006/relationships/hyperlink" Target="https://chatgpt.com/g/g-67599e0598088191b28a459b64c0593f-personality-type-b-ocean-11111/c/680fd7cf-2e1c-8003-bc88-ece72f45cc36" TargetMode="External"/><Relationship Id="rId6" Type="http://schemas.openxmlformats.org/officeDocument/2006/relationships/hyperlink" Target="https://chatgpt.com/g/g-67599e0598088191b28a459b64c0593f-personality-type-b-ocean-11111/c/680fe1ca-1e8c-8003-ac1d-273a6c466850" TargetMode="External"/><Relationship Id="rId7" Type="http://schemas.openxmlformats.org/officeDocument/2006/relationships/drawing" Target="../drawings/drawing5.xml"/><Relationship Id="rId8"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localhost:8081/?df56b4c6-8d0c-4952-bfa7-9189c0b1b1ea" TargetMode="External"/><Relationship Id="rId3" Type="http://schemas.openxmlformats.org/officeDocument/2006/relationships/hyperlink" Target="http://localhost:8081/?bbcee905-a068-455c-91ac-7593c3939f84" TargetMode="External"/><Relationship Id="rId4" Type="http://schemas.openxmlformats.org/officeDocument/2006/relationships/hyperlink" Target="https://chatgpt.com/g/g-6807b13d20188191bb5fea5ad93eaff7-evaluator-gpt/c/6810b1fc-50a0-8003-b618-a069d246fec3" TargetMode="External"/><Relationship Id="rId10" Type="http://schemas.openxmlformats.org/officeDocument/2006/relationships/table" Target="../tables/table6.xml"/><Relationship Id="rId5" Type="http://schemas.openxmlformats.org/officeDocument/2006/relationships/hyperlink" Target="https://chatgpt.com/g/g-67599e0598088191b28a459b64c0593f-personality-type-b-ocean-11111/c/6810aced-b3cc-8003-9219-9569f055ce49" TargetMode="External"/><Relationship Id="rId6" Type="http://schemas.openxmlformats.org/officeDocument/2006/relationships/hyperlink" Target="https://chatgpt.com/g/g-67599e0598088191b28a459b64c0593f-personality-type-b-ocean-11111/c/6810b02a-1458-8003-bc14-4544a685be71" TargetMode="External"/><Relationship Id="rId7" Type="http://schemas.openxmlformats.org/officeDocument/2006/relationships/drawing" Target="../drawings/drawing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localhost:8081/?2592f503-5e92-4cbc-b684-1f56b7e74954" TargetMode="External"/><Relationship Id="rId3" Type="http://schemas.openxmlformats.org/officeDocument/2006/relationships/hyperlink" Target="http://localhost:8081/?005647ff-9ac3-4786-875a-4eb771a47db9" TargetMode="External"/><Relationship Id="rId4" Type="http://schemas.openxmlformats.org/officeDocument/2006/relationships/hyperlink" Target="https://chatgpt.com/g/g-6807b13d20188191bb5fea5ad93eaff7-evaluator-gpt/c/680a0cf0-4780-8003-9f42-63bb148fa220" TargetMode="External"/><Relationship Id="rId10" Type="http://schemas.openxmlformats.org/officeDocument/2006/relationships/table" Target="../tables/table7.xml"/><Relationship Id="rId5" Type="http://schemas.openxmlformats.org/officeDocument/2006/relationships/hyperlink" Target="https://chatgpt.com/g/g-67599d22ba1081919b5be775590bd39d-personality-type-a-ocean-11111/c/6808d878-58e4-8003-8dff-7cc3d7d2e296" TargetMode="External"/><Relationship Id="rId6" Type="http://schemas.openxmlformats.org/officeDocument/2006/relationships/hyperlink" Target="https://chatgpt.com/g/g-67599d22ba1081919b5be775590bd39d-personality-type-a-ocean-11111/c/6808dd66-148c-8003-b98d-5e37e8ac733c" TargetMode="External"/><Relationship Id="rId7" Type="http://schemas.openxmlformats.org/officeDocument/2006/relationships/drawing" Target="../drawings/drawing7.xml"/><Relationship Id="rId8"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localhost:8081/?3d1811dc-7dbd-4ad7-9c1d-61f8e4f50561" TargetMode="External"/><Relationship Id="rId3" Type="http://schemas.openxmlformats.org/officeDocument/2006/relationships/hyperlink" Target="http://localhost:8081/?0eae8f83-e4d1-4ffa-a64f-aba25b54b6e2" TargetMode="External"/><Relationship Id="rId4" Type="http://schemas.openxmlformats.org/officeDocument/2006/relationships/hyperlink" Target="https://chatgpt.com/g/g-6807b13d20188191bb5fea5ad93eaff7-evaluator-gpt/c/680f54dc-2e28-8003-a166-587969fe2903" TargetMode="External"/><Relationship Id="rId10" Type="http://schemas.openxmlformats.org/officeDocument/2006/relationships/table" Target="../tables/table8.xml"/><Relationship Id="rId5" Type="http://schemas.openxmlformats.org/officeDocument/2006/relationships/hyperlink" Target="https://chatgpt.com/g/g-67599d22ba1081919b5be775590bd39d-personality-type-a-ocean-11111/c/680bada4-25e0-8003-a708-a5e10f2773d1" TargetMode="External"/><Relationship Id="rId6" Type="http://schemas.openxmlformats.org/officeDocument/2006/relationships/hyperlink" Target="https://chatgpt.com/g/g-67599d22ba1081919b5be775590bd39d-personality-type-a-ocean-11111/c/680bb1e3-988c-8003-b1f7-9765f015aae3" TargetMode="External"/><Relationship Id="rId7" Type="http://schemas.openxmlformats.org/officeDocument/2006/relationships/drawing" Target="../drawings/drawing8.xml"/><Relationship Id="rId8"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localhost:8081/?3e14b38e-fcaa-4179-86d3-2c6ba6132638" TargetMode="External"/><Relationship Id="rId3" Type="http://schemas.openxmlformats.org/officeDocument/2006/relationships/hyperlink" Target="http://localhost:8081/?2d5a3c4b-164f-464c-b626-b2044d61e4ce" TargetMode="External"/><Relationship Id="rId4" Type="http://schemas.openxmlformats.org/officeDocument/2006/relationships/hyperlink" Target="https://chatgpt.com/g/g-6807b13d20188191bb5fea5ad93eaff7-evaluator-gpt/c/680fd3d1-fc50-8003-804f-a7f8481d182b" TargetMode="External"/><Relationship Id="rId10" Type="http://schemas.openxmlformats.org/officeDocument/2006/relationships/table" Target="../tables/table9.xml"/><Relationship Id="rId5" Type="http://schemas.openxmlformats.org/officeDocument/2006/relationships/hyperlink" Target="https://chatgpt.com/g/g-67599d22ba1081919b5be775590bd39d-personality-type-a-ocean-11111/c/680f988d-cd98-8003-b9a2-59ad16f06ebc" TargetMode="External"/><Relationship Id="rId6" Type="http://schemas.openxmlformats.org/officeDocument/2006/relationships/hyperlink" Target="https://chatgpt.com/g/g-67599d22ba1081919b5be775590bd39d-personality-type-a-ocean-11111/c/680fcce8-afa4-8003-94ff-17fb00a0f7ff" TargetMode="External"/><Relationship Id="rId7" Type="http://schemas.openxmlformats.org/officeDocument/2006/relationships/drawing" Target="../drawings/drawing9.xml"/><Relationship Id="rId8"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localhost:8081/?53fbe383-290c-4cd8-8c9f-b56c239e3a57" TargetMode="External"/><Relationship Id="rId3" Type="http://schemas.openxmlformats.org/officeDocument/2006/relationships/hyperlink" Target="http://localhost:8081/?5b7ff13e-b9f8-4d8e-9a08-86bc85ee66cf" TargetMode="External"/><Relationship Id="rId4" Type="http://schemas.openxmlformats.org/officeDocument/2006/relationships/hyperlink" Target="https://chatgpt.com/g/g-6807b13d20188191bb5fea5ad93eaff7-evaluator-gpt/c/680feda2-85e0-8003-8da9-7da3d11c25c2" TargetMode="External"/><Relationship Id="rId10" Type="http://schemas.openxmlformats.org/officeDocument/2006/relationships/table" Target="../tables/table10.xml"/><Relationship Id="rId5" Type="http://schemas.openxmlformats.org/officeDocument/2006/relationships/hyperlink" Target="https://chatgpt.com/g/g-67599d22ba1081919b5be775590bd39d-personality-type-a-ocean-11111/c/680fe92c-a7fc-8003-9a86-d27444c9620e" TargetMode="External"/><Relationship Id="rId6" Type="http://schemas.openxmlformats.org/officeDocument/2006/relationships/hyperlink" Target="https://chatgpt.com/g/g-67599d22ba1081919b5be775590bd39d-personality-type-a-ocean-11111/c/680fec38-7e8c-8003-a96e-9681f2d99138" TargetMode="External"/><Relationship Id="rId7" Type="http://schemas.openxmlformats.org/officeDocument/2006/relationships/drawing" Target="../drawings/drawing10.xml"/><Relationship Id="rId8"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localhost:8081/?58feab53-e6a2-46c3-af77-189e7082ba36" TargetMode="External"/><Relationship Id="rId3" Type="http://schemas.openxmlformats.org/officeDocument/2006/relationships/hyperlink" Target="http://localhost:8081/?7c890872-bd18-46cd-bb78-252157355840" TargetMode="External"/><Relationship Id="rId4" Type="http://schemas.openxmlformats.org/officeDocument/2006/relationships/hyperlink" Target="https://chatgpt.com/g/g-6807b13d20188191bb5fea5ad93eaff7-evaluator-gpt/c/6810cbfb-b2d0-8003-b6f9-53f56287b931" TargetMode="External"/><Relationship Id="rId10" Type="http://schemas.openxmlformats.org/officeDocument/2006/relationships/table" Target="../tables/table11.xml"/><Relationship Id="rId5" Type="http://schemas.openxmlformats.org/officeDocument/2006/relationships/hyperlink" Target="https://chatgpt.com/g/g-67599d22ba1081919b5be775590bd39d-personality-type-a-ocean-11111/c/6810b59d-820c-8003-ab09-a02fd45ed92b" TargetMode="External"/><Relationship Id="rId6" Type="http://schemas.openxmlformats.org/officeDocument/2006/relationships/hyperlink" Target="https://chatgpt.com/g/g-67599d22ba1081919b5be775590bd39d-personality-type-a-ocean-11111/c/6810c9e1-3ad8-8003-aff5-a589d28c3ab3" TargetMode="External"/><Relationship Id="rId7" Type="http://schemas.openxmlformats.org/officeDocument/2006/relationships/drawing" Target="../drawings/drawing11.xml"/><Relationship Id="rId8"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3"/>
      <c r="C2" s="3"/>
      <c r="D2" s="4"/>
      <c r="E2" s="3"/>
      <c r="F2" s="4"/>
      <c r="G2" s="4"/>
      <c r="H2" s="4"/>
      <c r="I2" s="4"/>
      <c r="J2" s="4"/>
      <c r="K2" s="4"/>
      <c r="L2" s="4"/>
      <c r="M2" s="4"/>
      <c r="N2" s="4"/>
      <c r="O2" s="4"/>
      <c r="P2" s="4"/>
      <c r="Q2" s="4"/>
      <c r="R2" s="4"/>
      <c r="S2" s="4"/>
      <c r="T2" s="4"/>
      <c r="U2" s="4"/>
      <c r="V2" s="4"/>
      <c r="W2" s="4"/>
      <c r="X2" s="4"/>
      <c r="Y2" s="4"/>
    </row>
    <row r="3">
      <c r="A3" s="1" t="s">
        <v>4</v>
      </c>
      <c r="B3" s="3"/>
      <c r="C3" s="3"/>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c r="C6" s="19"/>
      <c r="D6" s="20"/>
      <c r="E6" s="21"/>
      <c r="F6" s="19"/>
      <c r="G6" s="22"/>
      <c r="H6" s="22"/>
      <c r="I6" s="23"/>
      <c r="J6" s="23"/>
      <c r="K6" s="24"/>
      <c r="L6" s="25"/>
      <c r="M6" s="26">
        <v>1.0</v>
      </c>
      <c r="N6" s="27"/>
      <c r="O6" s="27"/>
      <c r="P6" s="27"/>
      <c r="Q6" s="28"/>
      <c r="R6" s="28"/>
      <c r="S6" s="29"/>
      <c r="T6" s="30"/>
      <c r="U6" s="4"/>
      <c r="V6" s="4"/>
      <c r="W6" s="4"/>
      <c r="X6" s="4"/>
      <c r="Y6" s="4"/>
    </row>
    <row r="7">
      <c r="A7" s="18">
        <v>2.0</v>
      </c>
      <c r="B7" s="31"/>
      <c r="C7" s="19"/>
      <c r="D7" s="20"/>
      <c r="E7" s="21"/>
      <c r="F7" s="21"/>
      <c r="G7" s="22"/>
      <c r="H7" s="22"/>
      <c r="I7" s="23"/>
      <c r="J7" s="23"/>
      <c r="K7" s="24"/>
      <c r="L7" s="25"/>
      <c r="M7" s="26">
        <v>2.0</v>
      </c>
      <c r="N7" s="32"/>
      <c r="O7" s="27"/>
      <c r="P7" s="33"/>
      <c r="Q7" s="28"/>
      <c r="R7" s="28"/>
      <c r="S7" s="29"/>
      <c r="T7" s="30"/>
      <c r="U7" s="4"/>
      <c r="V7" s="4"/>
      <c r="W7" s="4"/>
      <c r="X7" s="4"/>
      <c r="Y7" s="4"/>
    </row>
    <row r="8">
      <c r="A8" s="18">
        <v>3.0</v>
      </c>
      <c r="B8" s="31"/>
      <c r="C8" s="19"/>
      <c r="D8" s="20"/>
      <c r="E8" s="21"/>
      <c r="F8" s="21"/>
      <c r="G8" s="22"/>
      <c r="H8" s="22"/>
      <c r="I8" s="23"/>
      <c r="J8" s="23"/>
      <c r="K8" s="24"/>
      <c r="L8" s="25"/>
      <c r="M8" s="26">
        <v>3.0</v>
      </c>
      <c r="N8" s="32"/>
      <c r="O8" s="27"/>
      <c r="P8" s="33"/>
      <c r="Q8" s="28"/>
      <c r="R8" s="28"/>
      <c r="S8" s="29"/>
      <c r="T8" s="30"/>
      <c r="U8" s="4"/>
      <c r="V8" s="4"/>
      <c r="W8" s="4"/>
      <c r="X8" s="4"/>
      <c r="Y8" s="4"/>
    </row>
    <row r="9">
      <c r="A9" s="18">
        <v>4.0</v>
      </c>
      <c r="B9" s="34"/>
      <c r="C9" s="19"/>
      <c r="D9" s="20"/>
      <c r="E9" s="21"/>
      <c r="F9" s="35"/>
      <c r="G9" s="22"/>
      <c r="H9" s="22"/>
      <c r="I9" s="23"/>
      <c r="J9" s="23"/>
      <c r="K9" s="24"/>
      <c r="L9" s="25"/>
      <c r="M9" s="26">
        <v>4.0</v>
      </c>
      <c r="N9" s="36"/>
      <c r="O9" s="27"/>
      <c r="P9" s="37"/>
      <c r="Q9" s="28"/>
      <c r="R9" s="28"/>
      <c r="S9" s="29"/>
      <c r="T9" s="30"/>
      <c r="U9" s="4"/>
      <c r="V9" s="4"/>
      <c r="W9" s="4"/>
      <c r="X9" s="4"/>
      <c r="Y9" s="4"/>
    </row>
    <row r="10">
      <c r="A10" s="18">
        <v>5.0</v>
      </c>
      <c r="B10" s="38"/>
      <c r="C10" s="19"/>
      <c r="D10" s="20"/>
      <c r="E10" s="21"/>
      <c r="F10" s="35"/>
      <c r="G10" s="22"/>
      <c r="H10" s="22"/>
      <c r="I10" s="23"/>
      <c r="J10" s="23"/>
      <c r="K10" s="24"/>
      <c r="L10" s="25"/>
      <c r="M10" s="26">
        <v>5.0</v>
      </c>
      <c r="N10" s="39"/>
      <c r="O10" s="27"/>
      <c r="P10" s="37"/>
      <c r="Q10" s="28"/>
      <c r="R10" s="28"/>
      <c r="S10" s="29"/>
      <c r="T10" s="30"/>
      <c r="U10" s="4"/>
      <c r="V10" s="4"/>
      <c r="W10" s="4"/>
      <c r="X10" s="4"/>
      <c r="Y10" s="4"/>
    </row>
    <row r="11">
      <c r="A11" s="40">
        <v>6.0</v>
      </c>
      <c r="B11" s="41"/>
      <c r="C11" s="42"/>
      <c r="D11" s="43"/>
      <c r="E11" s="44"/>
      <c r="F11" s="45"/>
      <c r="G11" s="46"/>
      <c r="H11" s="46"/>
      <c r="I11" s="47"/>
      <c r="J11" s="47"/>
      <c r="K11" s="48"/>
      <c r="L11" s="49"/>
      <c r="M11" s="50">
        <v>6.0</v>
      </c>
      <c r="N11" s="51"/>
      <c r="O11" s="52"/>
      <c r="P11" s="53"/>
      <c r="Q11" s="54"/>
      <c r="R11" s="54"/>
      <c r="S11" s="55"/>
      <c r="T11" s="56"/>
      <c r="U11" s="4"/>
      <c r="V11" s="4"/>
      <c r="W11" s="4"/>
      <c r="X11" s="4"/>
      <c r="Y11" s="4"/>
    </row>
    <row r="12">
      <c r="A12" s="2"/>
      <c r="B12" s="2"/>
      <c r="C12" s="2"/>
      <c r="D12" s="2"/>
      <c r="E12" s="2"/>
      <c r="F12" s="2"/>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0</v>
      </c>
      <c r="H13" s="60">
        <f t="shared" si="1"/>
        <v>0</v>
      </c>
      <c r="I13" s="60">
        <f t="shared" si="1"/>
        <v>0</v>
      </c>
      <c r="J13" s="60">
        <f t="shared" si="1"/>
        <v>0</v>
      </c>
      <c r="K13" s="60">
        <f t="shared" si="1"/>
        <v>0</v>
      </c>
      <c r="L13" s="62">
        <f>SUMPRODUCT((I6:K11="YES")*2 + (I6:K11="NOT SURE")*1 + (I6:K11="NO")*0, (I6:K11&lt;&gt;"")*(I6:K11&lt;&gt;"N/A"))</f>
        <v>0</v>
      </c>
      <c r="N13" s="60"/>
      <c r="O13" s="60"/>
      <c r="P13" s="60"/>
      <c r="Q13" s="60">
        <f t="shared" ref="Q13:S13" si="2">SUMPRODUCT((Q6:Q11="YES")*2 + (Q6:Q11="NOT SURE")*1 + (Q6:Q11="NO")*0, (Q6:Q11&lt;&gt;"")*(Q6:Q11&lt;&gt;"N/A"))</f>
        <v>0</v>
      </c>
      <c r="R13" s="60">
        <f t="shared" si="2"/>
        <v>0</v>
      </c>
      <c r="S13" s="60">
        <f t="shared" si="2"/>
        <v>0</v>
      </c>
      <c r="T13" s="63">
        <f>SUMPRODUCT((P6:R11="YES")*2 + (P6:R11="NOT SURE")*1 + (P6:R11="NO")*0, (P6:R11&lt;&gt;"")*(P6:R11&lt;&gt;"N/A"))</f>
        <v>0</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printOptions gridLines="1" horizontalCentered="1"/>
  <pageMargins bottom="0.75" footer="0.0" header="0.0" left="0.25" right="0.25" top="0.75"/>
  <pageSetup cellComments="atEnd" orientation="landscape"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35</v>
      </c>
      <c r="C2" s="65" t="s">
        <v>36</v>
      </c>
      <c r="D2" s="4"/>
      <c r="E2" s="65" t="s">
        <v>37</v>
      </c>
      <c r="F2" s="4"/>
      <c r="G2" s="4"/>
      <c r="H2" s="4"/>
      <c r="I2" s="4"/>
      <c r="J2" s="4"/>
      <c r="K2" s="4"/>
      <c r="L2" s="4"/>
      <c r="M2" s="4"/>
      <c r="N2" s="4"/>
      <c r="O2" s="4"/>
      <c r="P2" s="4"/>
      <c r="Q2" s="4"/>
      <c r="R2" s="4"/>
      <c r="S2" s="4"/>
      <c r="T2" s="4"/>
      <c r="U2" s="4"/>
      <c r="V2" s="4"/>
      <c r="W2" s="4"/>
      <c r="X2" s="4"/>
      <c r="Y2" s="4"/>
    </row>
    <row r="3">
      <c r="A3" s="1" t="s">
        <v>4</v>
      </c>
      <c r="B3" s="65" t="s">
        <v>38</v>
      </c>
      <c r="C3" s="65" t="s">
        <v>39</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B6" s="19" t="s">
        <v>40</v>
      </c>
      <c r="C6" s="66" t="s">
        <v>41</v>
      </c>
      <c r="D6" s="20" t="s">
        <v>42</v>
      </c>
      <c r="E6" s="21" t="s">
        <v>43</v>
      </c>
      <c r="F6" s="19" t="s">
        <v>44</v>
      </c>
      <c r="G6" s="23" t="s">
        <v>45</v>
      </c>
      <c r="H6" s="23" t="s">
        <v>45</v>
      </c>
      <c r="I6" s="23" t="s">
        <v>45</v>
      </c>
      <c r="J6" s="23" t="s">
        <v>45</v>
      </c>
      <c r="K6" s="24" t="s">
        <v>45</v>
      </c>
      <c r="L6" s="25" t="s">
        <v>46</v>
      </c>
      <c r="M6" s="26">
        <v>1.0</v>
      </c>
      <c r="N6" s="27" t="s">
        <v>47</v>
      </c>
      <c r="O6" s="27" t="s">
        <v>48</v>
      </c>
      <c r="P6" s="27" t="s">
        <v>49</v>
      </c>
      <c r="Q6" s="28" t="s">
        <v>45</v>
      </c>
      <c r="R6" s="28" t="s">
        <v>45</v>
      </c>
      <c r="S6" s="29" t="s">
        <v>50</v>
      </c>
      <c r="T6" s="30" t="s">
        <v>51</v>
      </c>
      <c r="U6" s="4"/>
      <c r="V6" s="4"/>
      <c r="W6" s="4"/>
      <c r="X6" s="4"/>
      <c r="Y6" s="4"/>
    </row>
    <row r="7">
      <c r="A7" s="18">
        <v>2.0</v>
      </c>
      <c r="B7" s="31"/>
      <c r="C7" s="19" t="s">
        <v>52</v>
      </c>
      <c r="D7" s="20" t="s">
        <v>53</v>
      </c>
      <c r="E7" s="21" t="s">
        <v>54</v>
      </c>
      <c r="F7" s="21" t="s">
        <v>55</v>
      </c>
      <c r="G7" s="23" t="s">
        <v>50</v>
      </c>
      <c r="H7" s="23" t="s">
        <v>45</v>
      </c>
      <c r="I7" s="23" t="s">
        <v>45</v>
      </c>
      <c r="J7" s="23" t="s">
        <v>45</v>
      </c>
      <c r="K7" s="24" t="s">
        <v>45</v>
      </c>
      <c r="L7" s="25" t="s">
        <v>56</v>
      </c>
      <c r="M7" s="26">
        <v>2.0</v>
      </c>
      <c r="N7" s="32"/>
      <c r="O7" s="27" t="s">
        <v>57</v>
      </c>
      <c r="P7" s="33" t="s">
        <v>58</v>
      </c>
      <c r="Q7" s="28" t="s">
        <v>45</v>
      </c>
      <c r="R7" s="28" t="s">
        <v>45</v>
      </c>
      <c r="S7" s="29" t="s">
        <v>45</v>
      </c>
      <c r="T7" s="30" t="s">
        <v>59</v>
      </c>
      <c r="U7" s="4"/>
      <c r="V7" s="4"/>
      <c r="W7" s="4"/>
      <c r="X7" s="4"/>
      <c r="Y7" s="4"/>
    </row>
    <row r="8">
      <c r="A8" s="18">
        <v>3.0</v>
      </c>
      <c r="B8" s="31"/>
      <c r="C8" s="19" t="s">
        <v>60</v>
      </c>
      <c r="D8" s="20" t="s">
        <v>53</v>
      </c>
      <c r="E8" s="21" t="s">
        <v>54</v>
      </c>
      <c r="F8" s="21" t="s">
        <v>61</v>
      </c>
      <c r="G8" s="23" t="s">
        <v>45</v>
      </c>
      <c r="H8" s="23" t="s">
        <v>45</v>
      </c>
      <c r="I8" s="23" t="s">
        <v>45</v>
      </c>
      <c r="J8" s="23" t="s">
        <v>45</v>
      </c>
      <c r="K8" s="24" t="s">
        <v>45</v>
      </c>
      <c r="L8" s="25" t="s">
        <v>62</v>
      </c>
      <c r="M8" s="26">
        <v>3.0</v>
      </c>
      <c r="N8" s="32"/>
      <c r="O8" s="27" t="s">
        <v>63</v>
      </c>
      <c r="P8" s="33" t="s">
        <v>64</v>
      </c>
      <c r="Q8" s="28" t="s">
        <v>45</v>
      </c>
      <c r="R8" s="28" t="s">
        <v>45</v>
      </c>
      <c r="S8" s="29" t="s">
        <v>45</v>
      </c>
      <c r="T8" s="30" t="s">
        <v>65</v>
      </c>
      <c r="U8" s="4"/>
      <c r="V8" s="4"/>
      <c r="W8" s="4"/>
      <c r="X8" s="4"/>
      <c r="Y8" s="4"/>
    </row>
    <row r="9">
      <c r="A9" s="18">
        <v>4.0</v>
      </c>
      <c r="B9" s="34"/>
      <c r="C9" s="19" t="s">
        <v>66</v>
      </c>
      <c r="D9" s="20" t="s">
        <v>53</v>
      </c>
      <c r="E9" s="21" t="s">
        <v>54</v>
      </c>
      <c r="F9" s="35" t="s">
        <v>67</v>
      </c>
      <c r="G9" s="23" t="s">
        <v>45</v>
      </c>
      <c r="H9" s="23" t="s">
        <v>45</v>
      </c>
      <c r="I9" s="23" t="s">
        <v>45</v>
      </c>
      <c r="J9" s="23" t="s">
        <v>45</v>
      </c>
      <c r="K9" s="24" t="s">
        <v>45</v>
      </c>
      <c r="L9" s="25" t="s">
        <v>68</v>
      </c>
      <c r="M9" s="26">
        <v>4.0</v>
      </c>
      <c r="N9" s="36"/>
      <c r="O9" s="27" t="s">
        <v>69</v>
      </c>
      <c r="P9" s="37" t="s">
        <v>70</v>
      </c>
      <c r="Q9" s="28" t="s">
        <v>45</v>
      </c>
      <c r="R9" s="28" t="s">
        <v>45</v>
      </c>
      <c r="S9" s="29" t="s">
        <v>71</v>
      </c>
      <c r="T9" s="30" t="s">
        <v>72</v>
      </c>
      <c r="U9" s="4"/>
      <c r="V9" s="4"/>
      <c r="W9" s="4"/>
      <c r="X9" s="4"/>
      <c r="Y9" s="4"/>
    </row>
    <row r="10">
      <c r="A10" s="18">
        <v>5.0</v>
      </c>
      <c r="B10" s="38"/>
      <c r="C10" s="19" t="s">
        <v>73</v>
      </c>
      <c r="D10" s="20" t="s">
        <v>53</v>
      </c>
      <c r="E10" s="21" t="s">
        <v>54</v>
      </c>
      <c r="F10" s="35" t="s">
        <v>74</v>
      </c>
      <c r="G10" s="23" t="s">
        <v>45</v>
      </c>
      <c r="H10" s="23" t="s">
        <v>45</v>
      </c>
      <c r="I10" s="23" t="s">
        <v>45</v>
      </c>
      <c r="J10" s="23" t="s">
        <v>45</v>
      </c>
      <c r="K10" s="24" t="s">
        <v>45</v>
      </c>
      <c r="L10" s="25" t="s">
        <v>75</v>
      </c>
      <c r="M10" s="26">
        <v>5.0</v>
      </c>
      <c r="N10" s="39"/>
      <c r="O10" s="27" t="s">
        <v>76</v>
      </c>
      <c r="P10" s="37" t="s">
        <v>77</v>
      </c>
      <c r="Q10" s="28" t="s">
        <v>45</v>
      </c>
      <c r="R10" s="28" t="s">
        <v>45</v>
      </c>
      <c r="S10" s="29" t="s">
        <v>50</v>
      </c>
      <c r="T10" s="30" t="s">
        <v>78</v>
      </c>
      <c r="U10" s="4"/>
      <c r="V10" s="4"/>
      <c r="W10" s="4"/>
      <c r="X10" s="4"/>
      <c r="Y10" s="4"/>
    </row>
    <row r="11">
      <c r="A11" s="40">
        <v>6.0</v>
      </c>
      <c r="B11" s="41"/>
      <c r="C11" s="42" t="s">
        <v>79</v>
      </c>
      <c r="D11" s="43" t="s">
        <v>80</v>
      </c>
      <c r="E11" s="44" t="s">
        <v>81</v>
      </c>
      <c r="F11" s="45" t="s">
        <v>82</v>
      </c>
      <c r="G11" s="47" t="s">
        <v>45</v>
      </c>
      <c r="H11" s="47" t="s">
        <v>45</v>
      </c>
      <c r="I11" s="47" t="s">
        <v>45</v>
      </c>
      <c r="J11" s="47" t="s">
        <v>45</v>
      </c>
      <c r="K11" s="48" t="s">
        <v>45</v>
      </c>
      <c r="L11" s="49" t="s">
        <v>83</v>
      </c>
      <c r="M11" s="50">
        <v>6.0</v>
      </c>
      <c r="N11" s="51"/>
      <c r="O11" s="52" t="s">
        <v>84</v>
      </c>
      <c r="P11" s="53" t="s">
        <v>85</v>
      </c>
      <c r="Q11" s="54" t="s">
        <v>45</v>
      </c>
      <c r="R11" s="54" t="s">
        <v>45</v>
      </c>
      <c r="S11" s="55" t="s">
        <v>45</v>
      </c>
      <c r="T11" s="56" t="s">
        <v>86</v>
      </c>
      <c r="U11" s="4"/>
      <c r="V11" s="4"/>
      <c r="W11" s="4"/>
      <c r="X11" s="4"/>
      <c r="Y11" s="4"/>
    </row>
    <row r="12">
      <c r="A12" s="2"/>
      <c r="B12" s="2"/>
      <c r="C12" s="2"/>
      <c r="D12" s="2"/>
      <c r="E12" s="2"/>
      <c r="F12" s="61" t="s">
        <v>87</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11</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8</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88</v>
      </c>
      <c r="C2" s="65" t="s">
        <v>89</v>
      </c>
      <c r="D2" s="4"/>
      <c r="E2" s="65" t="s">
        <v>90</v>
      </c>
      <c r="F2" s="4"/>
      <c r="G2" s="4"/>
      <c r="H2" s="4"/>
      <c r="I2" s="4"/>
      <c r="J2" s="4"/>
      <c r="K2" s="4"/>
      <c r="L2" s="4"/>
      <c r="M2" s="4"/>
      <c r="N2" s="4"/>
      <c r="O2" s="4"/>
      <c r="P2" s="4"/>
      <c r="Q2" s="4"/>
      <c r="R2" s="4"/>
      <c r="S2" s="4"/>
      <c r="T2" s="4"/>
      <c r="U2" s="4"/>
      <c r="V2" s="4"/>
      <c r="W2" s="4"/>
      <c r="X2" s="4"/>
      <c r="Y2" s="4"/>
    </row>
    <row r="3">
      <c r="A3" s="1" t="s">
        <v>4</v>
      </c>
      <c r="B3" s="65" t="s">
        <v>91</v>
      </c>
      <c r="C3" s="65" t="s">
        <v>92</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93</v>
      </c>
      <c r="C6" s="19" t="s">
        <v>94</v>
      </c>
      <c r="D6" s="20" t="s">
        <v>95</v>
      </c>
      <c r="E6" s="21" t="s">
        <v>96</v>
      </c>
      <c r="F6" s="19" t="s">
        <v>97</v>
      </c>
      <c r="G6" s="23" t="s">
        <v>45</v>
      </c>
      <c r="H6" s="23" t="s">
        <v>45</v>
      </c>
      <c r="I6" s="23" t="s">
        <v>45</v>
      </c>
      <c r="J6" s="23" t="s">
        <v>45</v>
      </c>
      <c r="K6" s="24" t="s">
        <v>45</v>
      </c>
      <c r="L6" s="25" t="s">
        <v>98</v>
      </c>
      <c r="M6" s="26">
        <v>1.0</v>
      </c>
      <c r="N6" s="27" t="s">
        <v>99</v>
      </c>
      <c r="O6" s="27" t="s">
        <v>100</v>
      </c>
      <c r="P6" s="27" t="s">
        <v>101</v>
      </c>
      <c r="Q6" s="28" t="s">
        <v>45</v>
      </c>
      <c r="R6" s="28" t="s">
        <v>45</v>
      </c>
      <c r="S6" s="29" t="s">
        <v>71</v>
      </c>
      <c r="T6" s="30" t="s">
        <v>102</v>
      </c>
      <c r="U6" s="4"/>
      <c r="V6" s="4"/>
      <c r="W6" s="4"/>
      <c r="X6" s="4"/>
      <c r="Y6" s="4"/>
    </row>
    <row r="7">
      <c r="A7" s="18">
        <v>2.0</v>
      </c>
      <c r="B7" s="31"/>
      <c r="C7" s="19" t="s">
        <v>103</v>
      </c>
      <c r="D7" s="20" t="s">
        <v>104</v>
      </c>
      <c r="E7" s="21" t="s">
        <v>103</v>
      </c>
      <c r="F7" s="21" t="s">
        <v>105</v>
      </c>
      <c r="G7" s="23" t="s">
        <v>45</v>
      </c>
      <c r="H7" s="23" t="s">
        <v>45</v>
      </c>
      <c r="I7" s="23" t="s">
        <v>45</v>
      </c>
      <c r="J7" s="23" t="s">
        <v>45</v>
      </c>
      <c r="K7" s="24" t="s">
        <v>45</v>
      </c>
      <c r="L7" s="25" t="s">
        <v>106</v>
      </c>
      <c r="M7" s="26">
        <v>2.0</v>
      </c>
      <c r="N7" s="32"/>
      <c r="O7" s="27" t="s">
        <v>107</v>
      </c>
      <c r="P7" s="33" t="s">
        <v>108</v>
      </c>
      <c r="Q7" s="28" t="s">
        <v>45</v>
      </c>
      <c r="R7" s="28" t="s">
        <v>45</v>
      </c>
      <c r="S7" s="29" t="s">
        <v>71</v>
      </c>
      <c r="T7" s="30" t="s">
        <v>109</v>
      </c>
      <c r="U7" s="4"/>
      <c r="V7" s="4"/>
      <c r="W7" s="4"/>
      <c r="X7" s="4"/>
      <c r="Y7" s="4"/>
    </row>
    <row r="8">
      <c r="A8" s="18">
        <v>3.0</v>
      </c>
      <c r="B8" s="31"/>
      <c r="C8" s="19" t="s">
        <v>110</v>
      </c>
      <c r="D8" s="20" t="s">
        <v>80</v>
      </c>
      <c r="E8" s="21" t="s">
        <v>81</v>
      </c>
      <c r="F8" s="21" t="s">
        <v>111</v>
      </c>
      <c r="G8" s="23" t="s">
        <v>45</v>
      </c>
      <c r="H8" s="23" t="s">
        <v>45</v>
      </c>
      <c r="I8" s="23" t="s">
        <v>45</v>
      </c>
      <c r="J8" s="23" t="s">
        <v>45</v>
      </c>
      <c r="K8" s="24" t="s">
        <v>45</v>
      </c>
      <c r="L8" s="25" t="s">
        <v>112</v>
      </c>
      <c r="M8" s="26">
        <v>3.0</v>
      </c>
      <c r="N8" s="32"/>
      <c r="O8" s="27" t="s">
        <v>113</v>
      </c>
      <c r="P8" s="33" t="s">
        <v>114</v>
      </c>
      <c r="Q8" s="28" t="s">
        <v>45</v>
      </c>
      <c r="R8" s="28" t="s">
        <v>45</v>
      </c>
      <c r="S8" s="29" t="s">
        <v>71</v>
      </c>
      <c r="T8" s="30" t="s">
        <v>115</v>
      </c>
      <c r="U8" s="4"/>
      <c r="V8" s="4"/>
      <c r="W8" s="4"/>
      <c r="X8" s="4"/>
      <c r="Y8" s="4"/>
    </row>
    <row r="9">
      <c r="A9" s="18">
        <v>4.0</v>
      </c>
      <c r="B9" s="34"/>
      <c r="C9" s="19" t="s">
        <v>116</v>
      </c>
      <c r="D9" s="20" t="s">
        <v>117</v>
      </c>
      <c r="E9" s="21" t="s">
        <v>118</v>
      </c>
      <c r="F9" s="35" t="s">
        <v>119</v>
      </c>
      <c r="G9" s="23" t="s">
        <v>45</v>
      </c>
      <c r="H9" s="23" t="s">
        <v>45</v>
      </c>
      <c r="I9" s="23" t="s">
        <v>45</v>
      </c>
      <c r="J9" s="23" t="s">
        <v>45</v>
      </c>
      <c r="K9" s="24" t="s">
        <v>45</v>
      </c>
      <c r="L9" s="25" t="s">
        <v>120</v>
      </c>
      <c r="M9" s="26">
        <v>4.0</v>
      </c>
      <c r="N9" s="36"/>
      <c r="O9" s="27" t="s">
        <v>121</v>
      </c>
      <c r="P9" s="37" t="s">
        <v>122</v>
      </c>
      <c r="Q9" s="28" t="s">
        <v>45</v>
      </c>
      <c r="R9" s="28" t="s">
        <v>45</v>
      </c>
      <c r="S9" s="29" t="s">
        <v>71</v>
      </c>
      <c r="T9" s="30" t="s">
        <v>123</v>
      </c>
      <c r="U9" s="4"/>
      <c r="V9" s="4"/>
      <c r="W9" s="4"/>
      <c r="X9" s="4"/>
      <c r="Y9" s="4"/>
    </row>
    <row r="10">
      <c r="A10" s="18">
        <v>5.0</v>
      </c>
      <c r="B10" s="38"/>
      <c r="C10" s="19" t="s">
        <v>124</v>
      </c>
      <c r="D10" s="20" t="s">
        <v>80</v>
      </c>
      <c r="E10" s="21" t="s">
        <v>81</v>
      </c>
      <c r="F10" s="35" t="s">
        <v>125</v>
      </c>
      <c r="G10" s="23" t="s">
        <v>45</v>
      </c>
      <c r="H10" s="23" t="s">
        <v>45</v>
      </c>
      <c r="I10" s="23" t="s">
        <v>45</v>
      </c>
      <c r="J10" s="23" t="s">
        <v>45</v>
      </c>
      <c r="K10" s="24" t="s">
        <v>45</v>
      </c>
      <c r="L10" s="25" t="s">
        <v>126</v>
      </c>
      <c r="M10" s="26">
        <v>5.0</v>
      </c>
      <c r="N10" s="39"/>
      <c r="O10" s="27" t="s">
        <v>127</v>
      </c>
      <c r="P10" s="37" t="s">
        <v>128</v>
      </c>
      <c r="Q10" s="28" t="s">
        <v>45</v>
      </c>
      <c r="R10" s="28" t="s">
        <v>45</v>
      </c>
      <c r="S10" s="29" t="s">
        <v>71</v>
      </c>
      <c r="T10" s="30" t="s">
        <v>129</v>
      </c>
      <c r="U10" s="4"/>
      <c r="V10" s="4"/>
      <c r="W10" s="4"/>
      <c r="X10" s="4"/>
      <c r="Y10" s="4"/>
    </row>
    <row r="11">
      <c r="A11" s="40">
        <v>6.0</v>
      </c>
      <c r="B11" s="41"/>
      <c r="C11" s="42" t="s">
        <v>130</v>
      </c>
      <c r="D11" s="43" t="s">
        <v>80</v>
      </c>
      <c r="E11" s="44" t="s">
        <v>81</v>
      </c>
      <c r="F11" s="45" t="s">
        <v>131</v>
      </c>
      <c r="G11" s="47" t="s">
        <v>45</v>
      </c>
      <c r="H11" s="47" t="s">
        <v>45</v>
      </c>
      <c r="I11" s="47" t="s">
        <v>45</v>
      </c>
      <c r="J11" s="47" t="s">
        <v>45</v>
      </c>
      <c r="K11" s="48" t="s">
        <v>45</v>
      </c>
      <c r="L11" s="49" t="s">
        <v>132</v>
      </c>
      <c r="M11" s="50">
        <v>6.0</v>
      </c>
      <c r="N11" s="51"/>
      <c r="O11" s="52" t="s">
        <v>133</v>
      </c>
      <c r="P11" s="53" t="s">
        <v>134</v>
      </c>
      <c r="Q11" s="54" t="s">
        <v>45</v>
      </c>
      <c r="R11" s="54" t="s">
        <v>45</v>
      </c>
      <c r="S11" s="55" t="s">
        <v>71</v>
      </c>
      <c r="T11" s="56" t="s">
        <v>135</v>
      </c>
      <c r="U11" s="4"/>
      <c r="V11" s="4"/>
      <c r="W11" s="4"/>
      <c r="X11" s="4"/>
      <c r="Y11" s="4"/>
    </row>
    <row r="12">
      <c r="A12" s="2"/>
      <c r="B12" s="2"/>
      <c r="C12" s="2"/>
      <c r="D12" s="2"/>
      <c r="E12" s="2"/>
      <c r="F12" s="61" t="s">
        <v>136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137</v>
      </c>
      <c r="C2" s="67" t="s">
        <v>138</v>
      </c>
      <c r="D2" s="4"/>
      <c r="E2" s="65" t="s">
        <v>139</v>
      </c>
      <c r="F2" s="4"/>
      <c r="G2" s="4"/>
      <c r="H2" s="4"/>
      <c r="I2" s="4"/>
      <c r="J2" s="4"/>
      <c r="K2" s="4"/>
      <c r="L2" s="4"/>
      <c r="M2" s="4"/>
      <c r="N2" s="4"/>
      <c r="O2" s="4"/>
      <c r="P2" s="4"/>
      <c r="Q2" s="4"/>
      <c r="R2" s="4"/>
      <c r="S2" s="4"/>
      <c r="T2" s="4"/>
      <c r="U2" s="4"/>
      <c r="V2" s="4"/>
      <c r="W2" s="4"/>
      <c r="X2" s="4"/>
      <c r="Y2" s="4"/>
    </row>
    <row r="3">
      <c r="A3" s="1" t="s">
        <v>4</v>
      </c>
      <c r="B3" s="67" t="s">
        <v>140</v>
      </c>
      <c r="C3" s="67" t="s">
        <v>141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143</v>
      </c>
      <c r="D6" s="20" t="s">
        <v>95</v>
      </c>
      <c r="E6" s="21" t="s">
        <v>96</v>
      </c>
      <c r="F6" s="19" t="s">
        <v>144</v>
      </c>
      <c r="G6" s="23" t="s">
        <v>45</v>
      </c>
      <c r="H6" s="23" t="s">
        <v>45</v>
      </c>
      <c r="I6" s="23" t="s">
        <v>45</v>
      </c>
      <c r="J6" s="23" t="s">
        <v>45</v>
      </c>
      <c r="K6" s="24" t="s">
        <v>45</v>
      </c>
      <c r="L6" s="25" t="s">
        <v>145</v>
      </c>
      <c r="M6" s="26">
        <v>1.0</v>
      </c>
      <c r="N6" s="27" t="s">
        <v>146</v>
      </c>
      <c r="O6" s="27" t="s">
        <v>147</v>
      </c>
      <c r="P6" s="27" t="s">
        <v>148</v>
      </c>
      <c r="Q6" s="28" t="s">
        <v>45</v>
      </c>
      <c r="R6" s="28" t="s">
        <v>45</v>
      </c>
      <c r="S6" s="29" t="s">
        <v>71</v>
      </c>
      <c r="T6" s="30" t="s">
        <v>149</v>
      </c>
      <c r="U6" s="4"/>
      <c r="V6" s="4"/>
      <c r="W6" s="4"/>
      <c r="X6" s="4"/>
      <c r="Y6" s="4"/>
    </row>
    <row r="7">
      <c r="A7" s="18">
        <v>2.0</v>
      </c>
      <c r="B7" s="31"/>
      <c r="C7" s="19" t="s">
        <v>150</v>
      </c>
      <c r="D7" s="20" t="s">
        <v>104</v>
      </c>
      <c r="E7" s="21" t="s">
        <v>103</v>
      </c>
      <c r="F7" s="21" t="s">
        <v>151</v>
      </c>
      <c r="G7" s="23" t="s">
        <v>45</v>
      </c>
      <c r="H7" s="23" t="s">
        <v>45</v>
      </c>
      <c r="I7" s="23" t="s">
        <v>45</v>
      </c>
      <c r="J7" s="23" t="s">
        <v>45</v>
      </c>
      <c r="K7" s="24" t="s">
        <v>45</v>
      </c>
      <c r="L7" s="25" t="s">
        <v>152</v>
      </c>
      <c r="M7" s="26">
        <v>2.0</v>
      </c>
      <c r="N7" s="32"/>
      <c r="O7" s="27" t="s">
        <v>153</v>
      </c>
      <c r="P7" s="33" t="s">
        <v>154</v>
      </c>
      <c r="Q7" s="28" t="s">
        <v>45</v>
      </c>
      <c r="R7" s="28" t="s">
        <v>45</v>
      </c>
      <c r="S7" s="29" t="s">
        <v>71</v>
      </c>
      <c r="T7" s="30" t="s">
        <v>155</v>
      </c>
      <c r="U7" s="4"/>
      <c r="V7" s="4"/>
      <c r="W7" s="4"/>
      <c r="X7" s="4"/>
      <c r="Y7" s="4"/>
    </row>
    <row r="8">
      <c r="A8" s="18">
        <v>3.0</v>
      </c>
      <c r="B8" s="31"/>
      <c r="C8" s="19" t="s">
        <v>156</v>
      </c>
      <c r="D8" s="20" t="s">
        <v>104</v>
      </c>
      <c r="E8" s="21" t="s">
        <v>157</v>
      </c>
      <c r="F8" s="21" t="s">
        <v>158</v>
      </c>
      <c r="G8" s="23" t="s">
        <v>45</v>
      </c>
      <c r="H8" s="23" t="s">
        <v>45</v>
      </c>
      <c r="I8" s="23" t="s">
        <v>45</v>
      </c>
      <c r="J8" s="23" t="s">
        <v>45</v>
      </c>
      <c r="K8" s="24" t="s">
        <v>45</v>
      </c>
      <c r="L8" s="25" t="s">
        <v>159</v>
      </c>
      <c r="M8" s="26">
        <v>3.0</v>
      </c>
      <c r="N8" s="32"/>
      <c r="O8" s="27" t="s">
        <v>160</v>
      </c>
      <c r="P8" s="33" t="s">
        <v>161</v>
      </c>
      <c r="Q8" s="28" t="s">
        <v>45</v>
      </c>
      <c r="R8" s="28" t="s">
        <v>45</v>
      </c>
      <c r="S8" s="29" t="s">
        <v>71</v>
      </c>
      <c r="T8" s="30" t="s">
        <v>162</v>
      </c>
      <c r="U8" s="4"/>
      <c r="V8" s="4"/>
      <c r="W8" s="4"/>
      <c r="X8" s="4"/>
      <c r="Y8" s="4"/>
    </row>
    <row r="9">
      <c r="A9" s="18">
        <v>4.0</v>
      </c>
      <c r="B9" s="34"/>
      <c r="C9" s="19" t="s">
        <v>163</v>
      </c>
      <c r="D9" s="20" t="s">
        <v>104</v>
      </c>
      <c r="E9" s="21" t="s">
        <v>157</v>
      </c>
      <c r="F9" s="35" t="s">
        <v>164</v>
      </c>
      <c r="G9" s="23" t="s">
        <v>45</v>
      </c>
      <c r="H9" s="23" t="s">
        <v>45</v>
      </c>
      <c r="I9" s="23" t="s">
        <v>45</v>
      </c>
      <c r="J9" s="23" t="s">
        <v>45</v>
      </c>
      <c r="K9" s="24" t="s">
        <v>45</v>
      </c>
      <c r="L9" s="25" t="s">
        <v>165</v>
      </c>
      <c r="M9" s="26">
        <v>4.0</v>
      </c>
      <c r="N9" s="36"/>
      <c r="O9" s="27" t="s">
        <v>166</v>
      </c>
      <c r="P9" s="37" t="s">
        <v>167</v>
      </c>
      <c r="Q9" s="28" t="s">
        <v>45</v>
      </c>
      <c r="R9" s="28" t="s">
        <v>45</v>
      </c>
      <c r="S9" s="29" t="s">
        <v>71</v>
      </c>
      <c r="T9" s="30" t="s">
        <v>168</v>
      </c>
      <c r="U9" s="4"/>
      <c r="V9" s="4"/>
      <c r="W9" s="4"/>
      <c r="X9" s="4"/>
      <c r="Y9" s="4"/>
    </row>
    <row r="10">
      <c r="A10" s="18">
        <v>5.0</v>
      </c>
      <c r="B10" s="38"/>
      <c r="C10" s="19" t="s">
        <v>169</v>
      </c>
      <c r="D10" s="20" t="s">
        <v>104</v>
      </c>
      <c r="E10" s="21" t="s">
        <v>170</v>
      </c>
      <c r="F10" s="35" t="s">
        <v>171</v>
      </c>
      <c r="G10" s="23" t="s">
        <v>45</v>
      </c>
      <c r="H10" s="23" t="s">
        <v>45</v>
      </c>
      <c r="I10" s="23" t="s">
        <v>45</v>
      </c>
      <c r="J10" s="23" t="s">
        <v>45</v>
      </c>
      <c r="K10" s="24" t="s">
        <v>45</v>
      </c>
      <c r="L10" s="25" t="s">
        <v>172</v>
      </c>
      <c r="M10" s="26">
        <v>5.0</v>
      </c>
      <c r="N10" s="39"/>
      <c r="O10" s="27" t="s">
        <v>173</v>
      </c>
      <c r="P10" s="37" t="s">
        <v>174</v>
      </c>
      <c r="Q10" s="28" t="s">
        <v>45</v>
      </c>
      <c r="R10" s="28" t="s">
        <v>45</v>
      </c>
      <c r="S10" s="29" t="s">
        <v>71</v>
      </c>
      <c r="T10" s="30" t="s">
        <v>175</v>
      </c>
      <c r="U10" s="4"/>
      <c r="V10" s="4"/>
      <c r="W10" s="4"/>
      <c r="X10" s="4"/>
      <c r="Y10" s="4"/>
    </row>
    <row r="11">
      <c r="A11" s="40">
        <v>6.0</v>
      </c>
      <c r="B11" s="41"/>
      <c r="C11" s="42" t="s">
        <v>176</v>
      </c>
      <c r="D11" s="43" t="s">
        <v>104</v>
      </c>
      <c r="E11" s="44" t="s">
        <v>170</v>
      </c>
      <c r="F11" s="45" t="s">
        <v>177</v>
      </c>
      <c r="G11" s="47" t="s">
        <v>45</v>
      </c>
      <c r="H11" s="47" t="s">
        <v>45</v>
      </c>
      <c r="I11" s="47" t="s">
        <v>45</v>
      </c>
      <c r="J11" s="47" t="s">
        <v>45</v>
      </c>
      <c r="K11" s="48" t="s">
        <v>45</v>
      </c>
      <c r="L11" s="49" t="s">
        <v>178</v>
      </c>
      <c r="M11" s="50">
        <v>6.0</v>
      </c>
      <c r="N11" s="51"/>
      <c r="O11" s="52" t="s">
        <v>179</v>
      </c>
      <c r="P11" s="53" t="s">
        <v>180</v>
      </c>
      <c r="Q11" s="54" t="s">
        <v>45</v>
      </c>
      <c r="R11" s="54" t="s">
        <v>45</v>
      </c>
      <c r="S11" s="55" t="s">
        <v>71</v>
      </c>
      <c r="T11" s="56" t="s">
        <v>181</v>
      </c>
      <c r="U11" s="4"/>
      <c r="V11" s="4"/>
      <c r="W11" s="4"/>
      <c r="X11" s="4"/>
      <c r="Y11" s="4"/>
    </row>
    <row r="12">
      <c r="A12" s="2"/>
      <c r="B12" s="2"/>
      <c r="C12" s="2"/>
      <c r="D12" s="2"/>
      <c r="E12" s="2"/>
      <c r="F12" s="3" t="s">
        <v>182</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7" t="s">
        <v>183</v>
      </c>
      <c r="C2" s="65" t="s">
        <v>184</v>
      </c>
      <c r="D2" s="4"/>
      <c r="E2" s="68" t="s">
        <v>185</v>
      </c>
      <c r="F2" s="4"/>
      <c r="G2" s="4"/>
      <c r="H2" s="4"/>
      <c r="I2" s="4"/>
      <c r="J2" s="4"/>
      <c r="K2" s="4"/>
      <c r="L2" s="4"/>
      <c r="M2" s="4"/>
      <c r="N2" s="4"/>
      <c r="O2" s="4"/>
      <c r="P2" s="4"/>
      <c r="Q2" s="4"/>
      <c r="R2" s="4"/>
      <c r="S2" s="4"/>
      <c r="T2" s="4"/>
      <c r="U2" s="4"/>
      <c r="V2" s="4"/>
      <c r="W2" s="4"/>
      <c r="X2" s="4"/>
      <c r="Y2" s="4"/>
    </row>
    <row r="3">
      <c r="A3" s="1" t="s">
        <v>4</v>
      </c>
      <c r="B3" s="65" t="s">
        <v>186</v>
      </c>
      <c r="C3" s="65" t="s">
        <v>187</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188</v>
      </c>
      <c r="D6" s="20" t="s">
        <v>53</v>
      </c>
      <c r="E6" s="21" t="s">
        <v>54</v>
      </c>
      <c r="F6" s="19" t="s">
        <v>189</v>
      </c>
      <c r="G6" s="23" t="s">
        <v>45</v>
      </c>
      <c r="H6" s="23" t="s">
        <v>45</v>
      </c>
      <c r="I6" s="23" t="s">
        <v>45</v>
      </c>
      <c r="J6" s="23" t="s">
        <v>45</v>
      </c>
      <c r="K6" s="24" t="s">
        <v>45</v>
      </c>
      <c r="L6" s="25" t="s">
        <v>190</v>
      </c>
      <c r="M6" s="26">
        <v>1.0</v>
      </c>
      <c r="N6" s="27" t="s">
        <v>191</v>
      </c>
      <c r="O6" s="27" t="s">
        <v>192</v>
      </c>
      <c r="P6" s="27" t="s">
        <v>193</v>
      </c>
      <c r="Q6" s="28" t="s">
        <v>45</v>
      </c>
      <c r="R6" s="28" t="s">
        <v>45</v>
      </c>
      <c r="S6" s="29" t="s">
        <v>71</v>
      </c>
      <c r="T6" s="30" t="s">
        <v>194</v>
      </c>
      <c r="U6" s="4"/>
      <c r="V6" s="4"/>
      <c r="W6" s="4"/>
      <c r="X6" s="4"/>
      <c r="Y6" s="4"/>
    </row>
    <row r="7">
      <c r="A7" s="18">
        <v>2.0</v>
      </c>
      <c r="B7" s="31"/>
      <c r="C7" s="19" t="s">
        <v>195</v>
      </c>
      <c r="D7" s="20" t="s">
        <v>80</v>
      </c>
      <c r="E7" s="21" t="s">
        <v>81</v>
      </c>
      <c r="F7" s="21" t="s">
        <v>196</v>
      </c>
      <c r="G7" s="23" t="s">
        <v>45</v>
      </c>
      <c r="H7" s="23" t="s">
        <v>45</v>
      </c>
      <c r="I7" s="23" t="s">
        <v>45</v>
      </c>
      <c r="J7" s="23" t="s">
        <v>45</v>
      </c>
      <c r="K7" s="24" t="s">
        <v>45</v>
      </c>
      <c r="L7" s="25" t="s">
        <v>197</v>
      </c>
      <c r="M7" s="26">
        <v>2.0</v>
      </c>
      <c r="N7" s="32"/>
      <c r="O7" s="27" t="s">
        <v>198</v>
      </c>
      <c r="P7" s="33" t="s">
        <v>199</v>
      </c>
      <c r="Q7" s="28" t="s">
        <v>45</v>
      </c>
      <c r="R7" s="28" t="s">
        <v>45</v>
      </c>
      <c r="S7" s="29" t="s">
        <v>71</v>
      </c>
      <c r="T7" s="30" t="s">
        <v>200</v>
      </c>
      <c r="U7" s="4"/>
      <c r="V7" s="4"/>
      <c r="W7" s="4"/>
      <c r="X7" s="4"/>
      <c r="Y7" s="4"/>
    </row>
    <row r="8">
      <c r="A8" s="18">
        <v>3.0</v>
      </c>
      <c r="B8" s="31"/>
      <c r="C8" s="19" t="s">
        <v>201</v>
      </c>
      <c r="D8" s="20" t="s">
        <v>80</v>
      </c>
      <c r="E8" s="21" t="s">
        <v>81</v>
      </c>
      <c r="F8" s="21" t="s">
        <v>202</v>
      </c>
      <c r="G8" s="23" t="s">
        <v>45</v>
      </c>
      <c r="H8" s="23" t="s">
        <v>45</v>
      </c>
      <c r="I8" s="23" t="s">
        <v>45</v>
      </c>
      <c r="J8" s="23" t="s">
        <v>45</v>
      </c>
      <c r="K8" s="24" t="s">
        <v>45</v>
      </c>
      <c r="L8" s="25" t="s">
        <v>203</v>
      </c>
      <c r="M8" s="26">
        <v>3.0</v>
      </c>
      <c r="N8" s="32"/>
      <c r="O8" s="27" t="s">
        <v>204</v>
      </c>
      <c r="P8" s="33" t="s">
        <v>205</v>
      </c>
      <c r="Q8" s="28" t="s">
        <v>45</v>
      </c>
      <c r="R8" s="28" t="s">
        <v>45</v>
      </c>
      <c r="S8" s="29" t="s">
        <v>71</v>
      </c>
      <c r="T8" s="30" t="s">
        <v>206</v>
      </c>
      <c r="U8" s="4"/>
      <c r="V8" s="4"/>
      <c r="W8" s="4"/>
      <c r="X8" s="4"/>
      <c r="Y8" s="4"/>
    </row>
    <row r="9">
      <c r="A9" s="18">
        <v>4.0</v>
      </c>
      <c r="B9" s="34"/>
      <c r="C9" s="19" t="s">
        <v>207</v>
      </c>
      <c r="D9" s="20" t="s">
        <v>80</v>
      </c>
      <c r="E9" s="21" t="s">
        <v>81</v>
      </c>
      <c r="F9" s="35" t="s">
        <v>208</v>
      </c>
      <c r="G9" s="23" t="s">
        <v>45</v>
      </c>
      <c r="H9" s="23" t="s">
        <v>45</v>
      </c>
      <c r="I9" s="23" t="s">
        <v>45</v>
      </c>
      <c r="J9" s="23" t="s">
        <v>45</v>
      </c>
      <c r="K9" s="24" t="s">
        <v>45</v>
      </c>
      <c r="L9" s="25" t="s">
        <v>209</v>
      </c>
      <c r="M9" s="26">
        <v>4.0</v>
      </c>
      <c r="N9" s="36"/>
      <c r="O9" s="27" t="s">
        <v>210</v>
      </c>
      <c r="P9" s="37" t="s">
        <v>211</v>
      </c>
      <c r="Q9" s="28" t="s">
        <v>45</v>
      </c>
      <c r="R9" s="28" t="s">
        <v>45</v>
      </c>
      <c r="S9" s="29" t="s">
        <v>71</v>
      </c>
      <c r="T9" s="30" t="s">
        <v>212</v>
      </c>
      <c r="U9" s="4"/>
      <c r="V9" s="4"/>
      <c r="W9" s="4"/>
      <c r="X9" s="4"/>
      <c r="Y9" s="4"/>
    </row>
    <row r="10">
      <c r="A10" s="18">
        <v>5.0</v>
      </c>
      <c r="B10" s="38"/>
      <c r="C10" s="19" t="s">
        <v>213</v>
      </c>
      <c r="D10" s="20" t="s">
        <v>104</v>
      </c>
      <c r="E10" s="21" t="s">
        <v>103</v>
      </c>
      <c r="F10" s="35" t="s">
        <v>214</v>
      </c>
      <c r="G10" s="23" t="s">
        <v>45</v>
      </c>
      <c r="H10" s="23" t="s">
        <v>45</v>
      </c>
      <c r="I10" s="23" t="s">
        <v>45</v>
      </c>
      <c r="J10" s="23" t="s">
        <v>45</v>
      </c>
      <c r="K10" s="24" t="s">
        <v>45</v>
      </c>
      <c r="L10" s="25" t="s">
        <v>215</v>
      </c>
      <c r="M10" s="26">
        <v>5.0</v>
      </c>
      <c r="N10" s="39"/>
      <c r="O10" s="27" t="s">
        <v>216</v>
      </c>
      <c r="P10" s="37" t="s">
        <v>217</v>
      </c>
      <c r="Q10" s="28" t="s">
        <v>45</v>
      </c>
      <c r="R10" s="28" t="s">
        <v>45</v>
      </c>
      <c r="S10" s="29" t="s">
        <v>71</v>
      </c>
      <c r="T10" s="30" t="s">
        <v>218</v>
      </c>
      <c r="U10" s="4"/>
      <c r="V10" s="4"/>
      <c r="W10" s="4"/>
      <c r="X10" s="4"/>
      <c r="Y10" s="4"/>
    </row>
    <row r="11">
      <c r="A11" s="40">
        <v>6.0</v>
      </c>
      <c r="B11" s="41"/>
      <c r="C11" s="42" t="s">
        <v>219</v>
      </c>
      <c r="D11" s="43" t="s">
        <v>80</v>
      </c>
      <c r="E11" s="44" t="s">
        <v>220</v>
      </c>
      <c r="F11" s="45" t="s">
        <v>221</v>
      </c>
      <c r="G11" s="47" t="s">
        <v>45</v>
      </c>
      <c r="H11" s="47" t="s">
        <v>45</v>
      </c>
      <c r="I11" s="47" t="s">
        <v>45</v>
      </c>
      <c r="J11" s="47" t="s">
        <v>45</v>
      </c>
      <c r="K11" s="48" t="s">
        <v>45</v>
      </c>
      <c r="L11" s="49" t="s">
        <v>222</v>
      </c>
      <c r="M11" s="50">
        <v>6.0</v>
      </c>
      <c r="N11" s="51"/>
      <c r="O11" s="52" t="s">
        <v>223</v>
      </c>
      <c r="P11" s="53" t="s">
        <v>224</v>
      </c>
      <c r="Q11" s="54" t="s">
        <v>45</v>
      </c>
      <c r="R11" s="54" t="s">
        <v>45</v>
      </c>
      <c r="S11" s="55" t="s">
        <v>71</v>
      </c>
      <c r="T11" s="56" t="s">
        <v>225</v>
      </c>
      <c r="U11" s="4"/>
      <c r="V11" s="4"/>
      <c r="W11" s="4"/>
      <c r="X11" s="4"/>
      <c r="Y11" s="4"/>
    </row>
    <row r="12">
      <c r="A12" s="2"/>
      <c r="B12" s="2"/>
      <c r="C12" s="2"/>
      <c r="D12" s="2"/>
      <c r="E12" s="2"/>
      <c r="F12" s="1" t="s">
        <v>226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227</v>
      </c>
      <c r="C2" s="65" t="s">
        <v>228</v>
      </c>
      <c r="D2" s="4"/>
      <c r="E2" s="65" t="s">
        <v>229</v>
      </c>
      <c r="F2" s="4"/>
      <c r="G2" s="4"/>
      <c r="H2" s="4"/>
      <c r="I2" s="4"/>
      <c r="J2" s="4"/>
      <c r="K2" s="4"/>
      <c r="L2" s="4"/>
      <c r="M2" s="4"/>
      <c r="N2" s="4"/>
      <c r="O2" s="4"/>
      <c r="P2" s="4"/>
      <c r="Q2" s="4"/>
      <c r="R2" s="4"/>
      <c r="S2" s="4"/>
      <c r="T2" s="4"/>
      <c r="U2" s="4"/>
      <c r="V2" s="4"/>
      <c r="W2" s="4"/>
      <c r="X2" s="4"/>
      <c r="Y2" s="4"/>
    </row>
    <row r="3">
      <c r="A3" s="1" t="s">
        <v>4</v>
      </c>
      <c r="B3" s="65" t="s">
        <v>230</v>
      </c>
      <c r="C3" s="65" t="s">
        <v>231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142</v>
      </c>
      <c r="C6" s="19" t="s">
        <v>232</v>
      </c>
      <c r="D6" s="20" t="s">
        <v>233</v>
      </c>
      <c r="E6" s="21" t="s">
        <v>234</v>
      </c>
      <c r="F6" s="19" t="s">
        <v>235</v>
      </c>
      <c r="G6" s="23" t="s">
        <v>45</v>
      </c>
      <c r="H6" s="23" t="s">
        <v>45</v>
      </c>
      <c r="I6" s="23" t="s">
        <v>45</v>
      </c>
      <c r="J6" s="23" t="s">
        <v>45</v>
      </c>
      <c r="K6" s="24" t="s">
        <v>45</v>
      </c>
      <c r="L6" s="25" t="s">
        <v>236</v>
      </c>
      <c r="M6" s="26">
        <v>1.0</v>
      </c>
      <c r="N6" s="27" t="s">
        <v>237</v>
      </c>
      <c r="O6" s="27" t="s">
        <v>238</v>
      </c>
      <c r="P6" s="27" t="s">
        <v>239</v>
      </c>
      <c r="Q6" s="28" t="s">
        <v>45</v>
      </c>
      <c r="R6" s="28" t="s">
        <v>45</v>
      </c>
      <c r="S6" s="29" t="s">
        <v>71</v>
      </c>
      <c r="T6" s="30" t="s">
        <v>240</v>
      </c>
      <c r="U6" s="4"/>
      <c r="V6" s="4"/>
      <c r="W6" s="4"/>
      <c r="X6" s="4"/>
      <c r="Y6" s="4"/>
    </row>
    <row r="7">
      <c r="A7" s="18">
        <v>2.0</v>
      </c>
      <c r="B7" s="31"/>
      <c r="C7" s="19" t="s">
        <v>241</v>
      </c>
      <c r="D7" s="20" t="s">
        <v>104</v>
      </c>
      <c r="E7" s="21" t="s">
        <v>103</v>
      </c>
      <c r="F7" s="21" t="s">
        <v>242</v>
      </c>
      <c r="G7" s="23" t="s">
        <v>45</v>
      </c>
      <c r="H7" s="23" t="s">
        <v>45</v>
      </c>
      <c r="I7" s="23" t="s">
        <v>45</v>
      </c>
      <c r="J7" s="23" t="s">
        <v>45</v>
      </c>
      <c r="K7" s="24" t="s">
        <v>45</v>
      </c>
      <c r="L7" s="25" t="s">
        <v>243</v>
      </c>
      <c r="M7" s="26">
        <v>2.0</v>
      </c>
      <c r="N7" s="32"/>
      <c r="O7" s="27" t="s">
        <v>244</v>
      </c>
      <c r="P7" s="33" t="s">
        <v>245</v>
      </c>
      <c r="Q7" s="28" t="s">
        <v>45</v>
      </c>
      <c r="R7" s="28" t="s">
        <v>45</v>
      </c>
      <c r="S7" s="29" t="s">
        <v>71</v>
      </c>
      <c r="T7" s="30" t="s">
        <v>246</v>
      </c>
      <c r="U7" s="4"/>
      <c r="V7" s="4"/>
      <c r="W7" s="4"/>
      <c r="X7" s="4"/>
      <c r="Y7" s="4"/>
    </row>
    <row r="8">
      <c r="A8" s="18">
        <v>3.0</v>
      </c>
      <c r="B8" s="31"/>
      <c r="C8" s="19" t="s">
        <v>247</v>
      </c>
      <c r="D8" s="20" t="s">
        <v>104</v>
      </c>
      <c r="E8" s="21" t="s">
        <v>157</v>
      </c>
      <c r="F8" s="21" t="s">
        <v>248</v>
      </c>
      <c r="G8" s="23" t="s">
        <v>45</v>
      </c>
      <c r="H8" s="23" t="s">
        <v>45</v>
      </c>
      <c r="I8" s="23" t="s">
        <v>45</v>
      </c>
      <c r="J8" s="23" t="s">
        <v>45</v>
      </c>
      <c r="K8" s="24" t="s">
        <v>45</v>
      </c>
      <c r="L8" s="25" t="s">
        <v>249</v>
      </c>
      <c r="M8" s="26">
        <v>3.0</v>
      </c>
      <c r="N8" s="32"/>
      <c r="O8" s="27" t="s">
        <v>250</v>
      </c>
      <c r="P8" s="33" t="s">
        <v>251</v>
      </c>
      <c r="Q8" s="28" t="s">
        <v>45</v>
      </c>
      <c r="R8" s="28" t="s">
        <v>45</v>
      </c>
      <c r="S8" s="29" t="s">
        <v>71</v>
      </c>
      <c r="T8" s="30" t="s">
        <v>252</v>
      </c>
      <c r="U8" s="4"/>
      <c r="V8" s="4"/>
      <c r="W8" s="4"/>
      <c r="X8" s="4"/>
      <c r="Y8" s="4"/>
    </row>
    <row r="9">
      <c r="A9" s="18">
        <v>4.0</v>
      </c>
      <c r="B9" s="34"/>
      <c r="C9" s="19" t="s">
        <v>253</v>
      </c>
      <c r="D9" s="20" t="s">
        <v>254</v>
      </c>
      <c r="E9" s="21" t="s">
        <v>255</v>
      </c>
      <c r="F9" s="35" t="s">
        <v>256</v>
      </c>
      <c r="G9" s="23" t="s">
        <v>45</v>
      </c>
      <c r="H9" s="23" t="s">
        <v>45</v>
      </c>
      <c r="I9" s="23" t="s">
        <v>45</v>
      </c>
      <c r="J9" s="23" t="s">
        <v>45</v>
      </c>
      <c r="K9" s="24" t="s">
        <v>45</v>
      </c>
      <c r="L9" s="25" t="s">
        <v>257</v>
      </c>
      <c r="M9" s="26">
        <v>4.0</v>
      </c>
      <c r="N9" s="36"/>
      <c r="O9" s="27" t="s">
        <v>258</v>
      </c>
      <c r="P9" s="37" t="s">
        <v>259</v>
      </c>
      <c r="Q9" s="28" t="s">
        <v>45</v>
      </c>
      <c r="R9" s="28" t="s">
        <v>45</v>
      </c>
      <c r="S9" s="29" t="s">
        <v>71</v>
      </c>
      <c r="T9" s="30" t="s">
        <v>260</v>
      </c>
      <c r="U9" s="4"/>
      <c r="V9" s="4"/>
      <c r="W9" s="4"/>
      <c r="X9" s="4"/>
      <c r="Y9" s="4"/>
    </row>
    <row r="10">
      <c r="A10" s="18">
        <v>5.0</v>
      </c>
      <c r="B10" s="38"/>
      <c r="C10" s="19" t="s">
        <v>261</v>
      </c>
      <c r="D10" s="20" t="s">
        <v>254</v>
      </c>
      <c r="E10" s="21" t="s">
        <v>262</v>
      </c>
      <c r="F10" s="35" t="s">
        <v>263</v>
      </c>
      <c r="G10" s="23" t="s">
        <v>45</v>
      </c>
      <c r="H10" s="23" t="s">
        <v>45</v>
      </c>
      <c r="I10" s="23" t="s">
        <v>45</v>
      </c>
      <c r="J10" s="23" t="s">
        <v>45</v>
      </c>
      <c r="K10" s="24" t="s">
        <v>45</v>
      </c>
      <c r="L10" s="25" t="s">
        <v>264</v>
      </c>
      <c r="M10" s="26">
        <v>5.0</v>
      </c>
      <c r="N10" s="39"/>
      <c r="O10" s="27" t="s">
        <v>265</v>
      </c>
      <c r="P10" s="37" t="s">
        <v>266</v>
      </c>
      <c r="Q10" s="28" t="s">
        <v>45</v>
      </c>
      <c r="R10" s="28" t="s">
        <v>45</v>
      </c>
      <c r="S10" s="29" t="s">
        <v>71</v>
      </c>
      <c r="T10" s="30" t="s">
        <v>267</v>
      </c>
      <c r="U10" s="4"/>
      <c r="V10" s="4"/>
      <c r="W10" s="4"/>
      <c r="X10" s="4"/>
      <c r="Y10" s="4"/>
    </row>
    <row r="11">
      <c r="A11" s="40">
        <v>6.0</v>
      </c>
      <c r="B11" s="41"/>
      <c r="C11" s="42" t="s">
        <v>268</v>
      </c>
      <c r="D11" s="43" t="s">
        <v>95</v>
      </c>
      <c r="E11" s="44" t="s">
        <v>96</v>
      </c>
      <c r="F11" s="45" t="s">
        <v>269</v>
      </c>
      <c r="G11" s="47" t="s">
        <v>45</v>
      </c>
      <c r="H11" s="47" t="s">
        <v>45</v>
      </c>
      <c r="I11" s="47" t="s">
        <v>45</v>
      </c>
      <c r="J11" s="47" t="s">
        <v>45</v>
      </c>
      <c r="K11" s="48" t="s">
        <v>45</v>
      </c>
      <c r="L11" s="49" t="s">
        <v>270</v>
      </c>
      <c r="M11" s="50">
        <v>6.0</v>
      </c>
      <c r="N11" s="51"/>
      <c r="O11" s="52" t="s">
        <v>271</v>
      </c>
      <c r="P11" s="53" t="s">
        <v>272</v>
      </c>
      <c r="Q11" s="54" t="s">
        <v>45</v>
      </c>
      <c r="R11" s="54" t="s">
        <v>45</v>
      </c>
      <c r="S11" s="55" t="s">
        <v>71</v>
      </c>
      <c r="T11" s="56" t="s">
        <v>273</v>
      </c>
      <c r="U11" s="4"/>
      <c r="V11" s="4"/>
      <c r="W11" s="4"/>
      <c r="X11" s="4"/>
      <c r="Y11" s="4"/>
    </row>
    <row r="12">
      <c r="A12" s="2"/>
      <c r="B12" s="2"/>
      <c r="C12" s="2"/>
      <c r="D12" s="2"/>
      <c r="E12" s="2"/>
      <c r="F12" s="1" t="s">
        <v>274</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66.63"/>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275</v>
      </c>
      <c r="C2" s="65" t="s">
        <v>276</v>
      </c>
      <c r="D2" s="4"/>
      <c r="E2" s="65" t="s">
        <v>277</v>
      </c>
      <c r="F2" s="4"/>
      <c r="G2" s="4"/>
      <c r="H2" s="4"/>
      <c r="I2" s="4"/>
      <c r="J2" s="4"/>
      <c r="K2" s="4"/>
      <c r="L2" s="4"/>
      <c r="M2" s="4"/>
      <c r="N2" s="4"/>
      <c r="O2" s="4"/>
      <c r="P2" s="4"/>
      <c r="Q2" s="4"/>
      <c r="R2" s="4"/>
      <c r="S2" s="4"/>
      <c r="T2" s="4"/>
      <c r="U2" s="4"/>
      <c r="V2" s="4"/>
      <c r="W2" s="4"/>
      <c r="X2" s="4"/>
      <c r="Y2" s="4"/>
    </row>
    <row r="3">
      <c r="A3" s="1" t="s">
        <v>4</v>
      </c>
      <c r="B3" s="65" t="s">
        <v>278</v>
      </c>
      <c r="C3" s="65" t="s">
        <v>279</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280</v>
      </c>
      <c r="C6" s="19" t="s">
        <v>281</v>
      </c>
      <c r="D6" s="20" t="s">
        <v>282</v>
      </c>
      <c r="E6" s="21" t="s">
        <v>283</v>
      </c>
      <c r="F6" s="19" t="s">
        <v>284</v>
      </c>
      <c r="G6" s="23" t="s">
        <v>45</v>
      </c>
      <c r="H6" s="23" t="s">
        <v>45</v>
      </c>
      <c r="I6" s="23" t="s">
        <v>45</v>
      </c>
      <c r="J6" s="23" t="s">
        <v>45</v>
      </c>
      <c r="K6" s="24" t="s">
        <v>45</v>
      </c>
      <c r="L6" s="25" t="s">
        <v>285</v>
      </c>
      <c r="M6" s="26">
        <v>1.0</v>
      </c>
      <c r="N6" s="27" t="s">
        <v>286</v>
      </c>
      <c r="O6" s="27" t="s">
        <v>287</v>
      </c>
      <c r="P6" s="27" t="s">
        <v>288</v>
      </c>
      <c r="Q6" s="28" t="s">
        <v>45</v>
      </c>
      <c r="R6" s="28" t="s">
        <v>45</v>
      </c>
      <c r="S6" s="29" t="s">
        <v>71</v>
      </c>
      <c r="T6" s="30" t="s">
        <v>289</v>
      </c>
      <c r="U6" s="4"/>
      <c r="V6" s="4"/>
      <c r="W6" s="4"/>
      <c r="X6" s="4"/>
      <c r="Y6" s="4"/>
    </row>
    <row r="7">
      <c r="A7" s="18">
        <v>2.0</v>
      </c>
      <c r="B7" s="31"/>
      <c r="C7" s="19" t="s">
        <v>290</v>
      </c>
      <c r="D7" s="20" t="s">
        <v>291</v>
      </c>
      <c r="E7" s="21" t="s">
        <v>292</v>
      </c>
      <c r="F7" s="21" t="s">
        <v>293</v>
      </c>
      <c r="G7" s="23" t="s">
        <v>45</v>
      </c>
      <c r="H7" s="23" t="s">
        <v>45</v>
      </c>
      <c r="I7" s="23" t="s">
        <v>45</v>
      </c>
      <c r="J7" s="23" t="s">
        <v>45</v>
      </c>
      <c r="K7" s="24" t="s">
        <v>45</v>
      </c>
      <c r="L7" s="25" t="s">
        <v>294</v>
      </c>
      <c r="M7" s="26">
        <v>2.0</v>
      </c>
      <c r="N7" s="32"/>
      <c r="O7" s="27" t="s">
        <v>295</v>
      </c>
      <c r="P7" s="33" t="s">
        <v>296</v>
      </c>
      <c r="Q7" s="28" t="s">
        <v>45</v>
      </c>
      <c r="R7" s="28" t="s">
        <v>45</v>
      </c>
      <c r="S7" s="29" t="s">
        <v>71</v>
      </c>
      <c r="T7" s="30" t="s">
        <v>297</v>
      </c>
      <c r="U7" s="4"/>
      <c r="V7" s="4"/>
      <c r="W7" s="4"/>
      <c r="X7" s="4"/>
      <c r="Y7" s="4"/>
    </row>
    <row r="8">
      <c r="A8" s="18">
        <v>3.0</v>
      </c>
      <c r="B8" s="31"/>
      <c r="C8" s="19" t="s">
        <v>298</v>
      </c>
      <c r="D8" s="20" t="s">
        <v>291</v>
      </c>
      <c r="E8" s="21" t="s">
        <v>292</v>
      </c>
      <c r="F8" s="21" t="s">
        <v>299</v>
      </c>
      <c r="G8" s="23" t="s">
        <v>45</v>
      </c>
      <c r="H8" s="23" t="s">
        <v>45</v>
      </c>
      <c r="I8" s="23" t="s">
        <v>45</v>
      </c>
      <c r="J8" s="23" t="s">
        <v>45</v>
      </c>
      <c r="K8" s="24" t="s">
        <v>45</v>
      </c>
      <c r="L8" s="25" t="s">
        <v>300</v>
      </c>
      <c r="M8" s="26">
        <v>3.0</v>
      </c>
      <c r="N8" s="32"/>
      <c r="O8" s="27" t="s">
        <v>301</v>
      </c>
      <c r="P8" s="33" t="s">
        <v>302</v>
      </c>
      <c r="Q8" s="28" t="s">
        <v>45</v>
      </c>
      <c r="R8" s="28" t="s">
        <v>45</v>
      </c>
      <c r="S8" s="29" t="s">
        <v>71</v>
      </c>
      <c r="T8" s="30" t="s">
        <v>303</v>
      </c>
      <c r="U8" s="4"/>
      <c r="V8" s="4"/>
      <c r="W8" s="4"/>
      <c r="X8" s="4"/>
      <c r="Y8" s="4"/>
    </row>
    <row r="9">
      <c r="A9" s="18">
        <v>4.0</v>
      </c>
      <c r="B9" s="34"/>
      <c r="C9" s="19" t="s">
        <v>304</v>
      </c>
      <c r="D9" s="20" t="s">
        <v>291</v>
      </c>
      <c r="E9" s="21" t="s">
        <v>292</v>
      </c>
      <c r="F9" s="35" t="s">
        <v>305</v>
      </c>
      <c r="G9" s="23" t="s">
        <v>45</v>
      </c>
      <c r="H9" s="23" t="s">
        <v>45</v>
      </c>
      <c r="I9" s="23" t="s">
        <v>45</v>
      </c>
      <c r="J9" s="23" t="s">
        <v>45</v>
      </c>
      <c r="K9" s="24" t="s">
        <v>45</v>
      </c>
      <c r="L9" s="25" t="s">
        <v>306</v>
      </c>
      <c r="M9" s="26">
        <v>4.0</v>
      </c>
      <c r="N9" s="36"/>
      <c r="O9" s="27" t="s">
        <v>307</v>
      </c>
      <c r="P9" s="37" t="s">
        <v>308</v>
      </c>
      <c r="Q9" s="28" t="s">
        <v>45</v>
      </c>
      <c r="R9" s="28" t="s">
        <v>45</v>
      </c>
      <c r="S9" s="29" t="s">
        <v>71</v>
      </c>
      <c r="T9" s="30" t="s">
        <v>309</v>
      </c>
      <c r="U9" s="4"/>
      <c r="V9" s="4"/>
      <c r="W9" s="4"/>
      <c r="X9" s="4"/>
      <c r="Y9" s="4"/>
    </row>
    <row r="10">
      <c r="A10" s="18">
        <v>5.0</v>
      </c>
      <c r="B10" s="38"/>
      <c r="C10" s="19" t="s">
        <v>310</v>
      </c>
      <c r="D10" s="20" t="s">
        <v>291</v>
      </c>
      <c r="E10" s="21" t="s">
        <v>292</v>
      </c>
      <c r="F10" s="35" t="s">
        <v>311</v>
      </c>
      <c r="G10" s="23" t="s">
        <v>45</v>
      </c>
      <c r="H10" s="23" t="s">
        <v>45</v>
      </c>
      <c r="I10" s="23" t="s">
        <v>45</v>
      </c>
      <c r="J10" s="23" t="s">
        <v>45</v>
      </c>
      <c r="K10" s="24" t="s">
        <v>45</v>
      </c>
      <c r="L10" s="25" t="s">
        <v>312</v>
      </c>
      <c r="M10" s="26">
        <v>5.0</v>
      </c>
      <c r="N10" s="39"/>
      <c r="O10" s="27" t="s">
        <v>313</v>
      </c>
      <c r="P10" s="37" t="s">
        <v>314</v>
      </c>
      <c r="Q10" s="28" t="s">
        <v>45</v>
      </c>
      <c r="R10" s="28" t="s">
        <v>45</v>
      </c>
      <c r="S10" s="29" t="s">
        <v>71</v>
      </c>
      <c r="T10" s="30" t="s">
        <v>315</v>
      </c>
      <c r="U10" s="4"/>
      <c r="V10" s="4"/>
      <c r="W10" s="4"/>
      <c r="X10" s="4"/>
      <c r="Y10" s="4"/>
    </row>
    <row r="11">
      <c r="A11" s="40">
        <v>6.0</v>
      </c>
      <c r="B11" s="41"/>
      <c r="C11" s="42" t="s">
        <v>316</v>
      </c>
      <c r="D11" s="43" t="s">
        <v>291</v>
      </c>
      <c r="E11" s="44" t="s">
        <v>292</v>
      </c>
      <c r="F11" s="45" t="s">
        <v>317</v>
      </c>
      <c r="G11" s="47" t="s">
        <v>45</v>
      </c>
      <c r="H11" s="47" t="s">
        <v>45</v>
      </c>
      <c r="I11" s="47" t="s">
        <v>45</v>
      </c>
      <c r="J11" s="47" t="s">
        <v>45</v>
      </c>
      <c r="K11" s="48" t="s">
        <v>45</v>
      </c>
      <c r="L11" s="49" t="s">
        <v>318</v>
      </c>
      <c r="M11" s="50">
        <v>6.0</v>
      </c>
      <c r="N11" s="51"/>
      <c r="O11" s="52" t="s">
        <v>319</v>
      </c>
      <c r="P11" s="53" t="s">
        <v>320</v>
      </c>
      <c r="Q11" s="54" t="s">
        <v>45</v>
      </c>
      <c r="R11" s="54" t="s">
        <v>45</v>
      </c>
      <c r="S11" s="55" t="s">
        <v>71</v>
      </c>
      <c r="T11" s="56" t="s">
        <v>315</v>
      </c>
      <c r="U11" s="4"/>
      <c r="V11" s="4"/>
      <c r="W11" s="4"/>
      <c r="X11" s="4"/>
      <c r="Y11" s="4"/>
    </row>
    <row r="12">
      <c r="A12" s="2"/>
      <c r="B12" s="2"/>
      <c r="C12" s="2"/>
      <c r="D12" s="2"/>
      <c r="E12" s="2"/>
      <c r="F12" s="1" t="s">
        <v>321</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322</v>
      </c>
      <c r="C2" s="65" t="s">
        <v>323</v>
      </c>
      <c r="D2" s="4"/>
      <c r="E2" s="65" t="s">
        <v>324</v>
      </c>
      <c r="F2" s="4"/>
      <c r="G2" s="4"/>
      <c r="H2" s="4"/>
      <c r="I2" s="4"/>
      <c r="J2" s="4"/>
      <c r="K2" s="4"/>
      <c r="L2" s="4"/>
      <c r="M2" s="4"/>
      <c r="N2" s="4"/>
      <c r="O2" s="4"/>
      <c r="P2" s="4"/>
      <c r="Q2" s="4"/>
      <c r="R2" s="4"/>
      <c r="S2" s="4"/>
      <c r="T2" s="4"/>
      <c r="U2" s="4"/>
      <c r="V2" s="4"/>
      <c r="W2" s="4"/>
      <c r="X2" s="4"/>
      <c r="Y2" s="4"/>
    </row>
    <row r="3">
      <c r="A3" s="1" t="s">
        <v>4</v>
      </c>
      <c r="B3" s="67" t="s">
        <v>325</v>
      </c>
      <c r="C3" s="67" t="s">
        <v>326</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99</v>
      </c>
      <c r="C6" s="19" t="s">
        <v>327</v>
      </c>
      <c r="D6" s="20" t="s">
        <v>282</v>
      </c>
      <c r="E6" s="21" t="s">
        <v>283</v>
      </c>
      <c r="F6" s="19" t="s">
        <v>328</v>
      </c>
      <c r="G6" s="23" t="s">
        <v>45</v>
      </c>
      <c r="H6" s="23" t="s">
        <v>45</v>
      </c>
      <c r="I6" s="23" t="s">
        <v>45</v>
      </c>
      <c r="J6" s="23" t="s">
        <v>45</v>
      </c>
      <c r="K6" s="24" t="s">
        <v>45</v>
      </c>
      <c r="L6" s="25" t="s">
        <v>329</v>
      </c>
      <c r="M6" s="26">
        <v>1.0</v>
      </c>
      <c r="N6" s="27" t="s">
        <v>330</v>
      </c>
      <c r="O6" s="27" t="s">
        <v>331</v>
      </c>
      <c r="P6" s="27" t="s">
        <v>332</v>
      </c>
      <c r="Q6" s="28" t="s">
        <v>45</v>
      </c>
      <c r="R6" s="28" t="s">
        <v>45</v>
      </c>
      <c r="S6" s="29" t="s">
        <v>71</v>
      </c>
      <c r="T6" s="30" t="s">
        <v>333</v>
      </c>
      <c r="U6" s="4"/>
      <c r="V6" s="4"/>
      <c r="W6" s="4"/>
      <c r="X6" s="4"/>
      <c r="Y6" s="4"/>
    </row>
    <row r="7">
      <c r="A7" s="18">
        <v>2.0</v>
      </c>
      <c r="B7" s="31"/>
      <c r="C7" s="19" t="s">
        <v>334</v>
      </c>
      <c r="D7" s="20" t="s">
        <v>335</v>
      </c>
      <c r="E7" s="21" t="s">
        <v>336</v>
      </c>
      <c r="F7" s="21" t="s">
        <v>337</v>
      </c>
      <c r="G7" s="23" t="s">
        <v>45</v>
      </c>
      <c r="H7" s="23" t="s">
        <v>45</v>
      </c>
      <c r="I7" s="23" t="s">
        <v>45</v>
      </c>
      <c r="J7" s="23" t="s">
        <v>45</v>
      </c>
      <c r="K7" s="24" t="s">
        <v>45</v>
      </c>
      <c r="L7" s="25" t="s">
        <v>338</v>
      </c>
      <c r="M7" s="26">
        <v>2.0</v>
      </c>
      <c r="N7" s="32"/>
      <c r="O7" s="27" t="s">
        <v>339</v>
      </c>
      <c r="P7" s="33" t="s">
        <v>340</v>
      </c>
      <c r="Q7" s="28" t="s">
        <v>45</v>
      </c>
      <c r="R7" s="28" t="s">
        <v>45</v>
      </c>
      <c r="S7" s="29" t="s">
        <v>71</v>
      </c>
      <c r="T7" s="30" t="s">
        <v>341</v>
      </c>
      <c r="U7" s="4"/>
      <c r="V7" s="4"/>
      <c r="W7" s="4"/>
      <c r="X7" s="4"/>
      <c r="Y7" s="4"/>
    </row>
    <row r="8">
      <c r="A8" s="18">
        <v>3.0</v>
      </c>
      <c r="B8" s="31"/>
      <c r="C8" s="19" t="s">
        <v>342</v>
      </c>
      <c r="D8" s="20" t="s">
        <v>335</v>
      </c>
      <c r="E8" s="21" t="s">
        <v>336</v>
      </c>
      <c r="F8" s="21" t="s">
        <v>343</v>
      </c>
      <c r="G8" s="23" t="s">
        <v>45</v>
      </c>
      <c r="H8" s="23" t="s">
        <v>45</v>
      </c>
      <c r="I8" s="23" t="s">
        <v>45</v>
      </c>
      <c r="J8" s="23" t="s">
        <v>45</v>
      </c>
      <c r="K8" s="24" t="s">
        <v>45</v>
      </c>
      <c r="L8" s="25" t="s">
        <v>344</v>
      </c>
      <c r="M8" s="26">
        <v>3.0</v>
      </c>
      <c r="N8" s="32"/>
      <c r="O8" s="27" t="s">
        <v>345</v>
      </c>
      <c r="P8" s="33" t="s">
        <v>346</v>
      </c>
      <c r="Q8" s="28" t="s">
        <v>45</v>
      </c>
      <c r="R8" s="28" t="s">
        <v>45</v>
      </c>
      <c r="S8" s="29" t="s">
        <v>71</v>
      </c>
      <c r="T8" s="30" t="s">
        <v>347</v>
      </c>
      <c r="U8" s="4"/>
      <c r="V8" s="4"/>
      <c r="W8" s="4"/>
      <c r="X8" s="4"/>
      <c r="Y8" s="4"/>
    </row>
    <row r="9">
      <c r="A9" s="18">
        <v>4.0</v>
      </c>
      <c r="B9" s="34"/>
      <c r="C9" s="19" t="s">
        <v>348</v>
      </c>
      <c r="D9" s="20" t="s">
        <v>335</v>
      </c>
      <c r="E9" s="21" t="s">
        <v>336</v>
      </c>
      <c r="F9" s="35" t="s">
        <v>349</v>
      </c>
      <c r="G9" s="23" t="s">
        <v>45</v>
      </c>
      <c r="H9" s="23" t="s">
        <v>45</v>
      </c>
      <c r="I9" s="23" t="s">
        <v>45</v>
      </c>
      <c r="J9" s="23" t="s">
        <v>45</v>
      </c>
      <c r="K9" s="24" t="s">
        <v>45</v>
      </c>
      <c r="L9" s="25" t="s">
        <v>350</v>
      </c>
      <c r="M9" s="26">
        <v>4.0</v>
      </c>
      <c r="N9" s="36"/>
      <c r="O9" s="27" t="s">
        <v>351</v>
      </c>
      <c r="P9" s="37" t="s">
        <v>352</v>
      </c>
      <c r="Q9" s="28" t="s">
        <v>45</v>
      </c>
      <c r="R9" s="28" t="s">
        <v>45</v>
      </c>
      <c r="S9" s="29" t="s">
        <v>71</v>
      </c>
      <c r="T9" s="30" t="s">
        <v>353</v>
      </c>
      <c r="U9" s="4"/>
      <c r="V9" s="4"/>
      <c r="W9" s="4"/>
      <c r="X9" s="4"/>
      <c r="Y9" s="4"/>
    </row>
    <row r="10">
      <c r="A10" s="18">
        <v>5.0</v>
      </c>
      <c r="B10" s="38"/>
      <c r="C10" s="19" t="s">
        <v>354</v>
      </c>
      <c r="D10" s="20" t="s">
        <v>335</v>
      </c>
      <c r="E10" s="21" t="s">
        <v>355</v>
      </c>
      <c r="F10" s="35" t="s">
        <v>356</v>
      </c>
      <c r="G10" s="23" t="s">
        <v>45</v>
      </c>
      <c r="H10" s="23" t="s">
        <v>45</v>
      </c>
      <c r="I10" s="23" t="s">
        <v>45</v>
      </c>
      <c r="J10" s="23" t="s">
        <v>45</v>
      </c>
      <c r="K10" s="24" t="s">
        <v>45</v>
      </c>
      <c r="L10" s="25" t="s">
        <v>357</v>
      </c>
      <c r="M10" s="26">
        <v>5.0</v>
      </c>
      <c r="N10" s="39"/>
      <c r="O10" s="27" t="s">
        <v>358</v>
      </c>
      <c r="P10" s="37" t="s">
        <v>359</v>
      </c>
      <c r="Q10" s="28" t="s">
        <v>45</v>
      </c>
      <c r="R10" s="28" t="s">
        <v>45</v>
      </c>
      <c r="S10" s="29" t="s">
        <v>71</v>
      </c>
      <c r="T10" s="30" t="s">
        <v>360</v>
      </c>
      <c r="U10" s="4"/>
      <c r="V10" s="4"/>
      <c r="W10" s="4"/>
      <c r="X10" s="4"/>
      <c r="Y10" s="4"/>
    </row>
    <row r="11">
      <c r="A11" s="40">
        <v>6.0</v>
      </c>
      <c r="B11" s="41"/>
      <c r="C11" s="42" t="s">
        <v>361</v>
      </c>
      <c r="D11" s="43" t="s">
        <v>335</v>
      </c>
      <c r="E11" s="44" t="s">
        <v>355</v>
      </c>
      <c r="F11" s="45" t="s">
        <v>362</v>
      </c>
      <c r="G11" s="47" t="s">
        <v>45</v>
      </c>
      <c r="H11" s="47" t="s">
        <v>45</v>
      </c>
      <c r="I11" s="47" t="s">
        <v>45</v>
      </c>
      <c r="J11" s="47" t="s">
        <v>45</v>
      </c>
      <c r="K11" s="48" t="s">
        <v>45</v>
      </c>
      <c r="L11" s="49" t="s">
        <v>363</v>
      </c>
      <c r="M11" s="50">
        <v>6.0</v>
      </c>
      <c r="N11" s="51"/>
      <c r="O11" s="52" t="s">
        <v>364</v>
      </c>
      <c r="P11" s="53" t="s">
        <v>365</v>
      </c>
      <c r="Q11" s="54" t="s">
        <v>45</v>
      </c>
      <c r="R11" s="54" t="s">
        <v>71</v>
      </c>
      <c r="S11" s="55" t="s">
        <v>71</v>
      </c>
      <c r="T11" s="56"/>
      <c r="U11" s="4"/>
      <c r="V11" s="4"/>
      <c r="W11" s="4"/>
      <c r="X11" s="4"/>
      <c r="Y11" s="4"/>
    </row>
    <row r="12">
      <c r="A12" s="2"/>
      <c r="B12" s="2"/>
      <c r="C12" s="2"/>
      <c r="D12" s="2"/>
      <c r="E12" s="2"/>
      <c r="F12" s="1" t="s">
        <v>366</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10</v>
      </c>
      <c r="S13" s="60">
        <f t="shared" si="2"/>
        <v>0</v>
      </c>
      <c r="T13" s="63">
        <f>SUMPRODUCT((P6:R11="YES")*2 + (P6:R11="NOT SURE")*1 + (P6:R11="NO")*0, (P6:R11&lt;&gt;"")*(P6:R11&lt;&gt;"N/A"))</f>
        <v>22</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367</v>
      </c>
      <c r="C2" s="67" t="s">
        <v>368</v>
      </c>
      <c r="D2" s="4"/>
      <c r="E2" s="65" t="s">
        <v>369</v>
      </c>
      <c r="F2" s="4"/>
      <c r="G2" s="4"/>
      <c r="H2" s="4"/>
      <c r="I2" s="4"/>
      <c r="J2" s="4"/>
      <c r="K2" s="4"/>
      <c r="L2" s="4"/>
      <c r="M2" s="4"/>
      <c r="N2" s="4"/>
      <c r="O2" s="4"/>
      <c r="P2" s="4"/>
      <c r="Q2" s="4"/>
      <c r="R2" s="4"/>
      <c r="S2" s="4"/>
      <c r="T2" s="4"/>
      <c r="U2" s="4"/>
      <c r="V2" s="4"/>
      <c r="W2" s="4"/>
      <c r="X2" s="4"/>
      <c r="Y2" s="4"/>
    </row>
    <row r="3">
      <c r="A3" s="1" t="s">
        <v>4</v>
      </c>
      <c r="B3" s="65" t="s">
        <v>370</v>
      </c>
      <c r="C3" s="65" t="s">
        <v>371</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372</v>
      </c>
      <c r="C6" s="19" t="s">
        <v>373</v>
      </c>
      <c r="D6" s="20" t="s">
        <v>291</v>
      </c>
      <c r="E6" s="21" t="s">
        <v>374</v>
      </c>
      <c r="F6" s="19" t="s">
        <v>375</v>
      </c>
      <c r="G6" s="23" t="s">
        <v>45</v>
      </c>
      <c r="H6" s="23" t="s">
        <v>45</v>
      </c>
      <c r="I6" s="23" t="s">
        <v>45</v>
      </c>
      <c r="J6" s="23" t="s">
        <v>45</v>
      </c>
      <c r="K6" s="24" t="s">
        <v>45</v>
      </c>
      <c r="L6" s="25" t="s">
        <v>376</v>
      </c>
      <c r="M6" s="26">
        <v>1.0</v>
      </c>
      <c r="N6" s="27" t="s">
        <v>377</v>
      </c>
      <c r="O6" s="27" t="s">
        <v>378</v>
      </c>
      <c r="P6" s="27" t="s">
        <v>379</v>
      </c>
      <c r="Q6" s="28" t="s">
        <v>45</v>
      </c>
      <c r="R6" s="28" t="s">
        <v>45</v>
      </c>
      <c r="S6" s="29" t="s">
        <v>71</v>
      </c>
      <c r="T6" s="30" t="s">
        <v>380</v>
      </c>
      <c r="U6" s="4"/>
      <c r="V6" s="4"/>
      <c r="W6" s="4"/>
      <c r="X6" s="4"/>
      <c r="Y6" s="4"/>
    </row>
    <row r="7">
      <c r="A7" s="18">
        <v>2.0</v>
      </c>
      <c r="B7" s="31"/>
      <c r="C7" s="19" t="s">
        <v>381</v>
      </c>
      <c r="D7" s="20" t="s">
        <v>291</v>
      </c>
      <c r="E7" s="21" t="s">
        <v>374</v>
      </c>
      <c r="F7" s="21" t="s">
        <v>382</v>
      </c>
      <c r="G7" s="23" t="s">
        <v>45</v>
      </c>
      <c r="H7" s="23" t="s">
        <v>45</v>
      </c>
      <c r="I7" s="23" t="s">
        <v>45</v>
      </c>
      <c r="J7" s="23" t="s">
        <v>45</v>
      </c>
      <c r="K7" s="24" t="s">
        <v>45</v>
      </c>
      <c r="L7" s="25" t="s">
        <v>383</v>
      </c>
      <c r="M7" s="26">
        <v>2.0</v>
      </c>
      <c r="N7" s="32"/>
      <c r="O7" s="27" t="s">
        <v>384</v>
      </c>
      <c r="P7" s="33" t="s">
        <v>385</v>
      </c>
      <c r="Q7" s="28" t="s">
        <v>45</v>
      </c>
      <c r="R7" s="28" t="s">
        <v>45</v>
      </c>
      <c r="S7" s="29" t="s">
        <v>71</v>
      </c>
      <c r="T7" s="30" t="s">
        <v>386</v>
      </c>
      <c r="U7" s="4"/>
      <c r="V7" s="4"/>
      <c r="W7" s="4"/>
      <c r="X7" s="4"/>
      <c r="Y7" s="4"/>
    </row>
    <row r="8">
      <c r="A8" s="18">
        <v>3.0</v>
      </c>
      <c r="B8" s="31"/>
      <c r="C8" s="19" t="s">
        <v>387</v>
      </c>
      <c r="D8" s="20" t="s">
        <v>291</v>
      </c>
      <c r="E8" s="21" t="s">
        <v>374</v>
      </c>
      <c r="F8" s="21" t="s">
        <v>388</v>
      </c>
      <c r="G8" s="23" t="s">
        <v>45</v>
      </c>
      <c r="H8" s="23" t="s">
        <v>45</v>
      </c>
      <c r="I8" s="23" t="s">
        <v>45</v>
      </c>
      <c r="J8" s="23" t="s">
        <v>45</v>
      </c>
      <c r="K8" s="24" t="s">
        <v>45</v>
      </c>
      <c r="L8" s="25" t="s">
        <v>389</v>
      </c>
      <c r="M8" s="26">
        <v>3.0</v>
      </c>
      <c r="N8" s="32"/>
      <c r="O8" s="27" t="s">
        <v>390</v>
      </c>
      <c r="P8" s="33" t="s">
        <v>391</v>
      </c>
      <c r="Q8" s="28" t="s">
        <v>45</v>
      </c>
      <c r="R8" s="28" t="s">
        <v>45</v>
      </c>
      <c r="S8" s="29" t="s">
        <v>71</v>
      </c>
      <c r="T8" s="30" t="s">
        <v>392</v>
      </c>
      <c r="U8" s="4"/>
      <c r="V8" s="4"/>
      <c r="W8" s="4"/>
      <c r="X8" s="4"/>
      <c r="Y8" s="4"/>
    </row>
    <row r="9">
      <c r="A9" s="18">
        <v>4.0</v>
      </c>
      <c r="B9" s="34"/>
      <c r="C9" s="19" t="s">
        <v>393</v>
      </c>
      <c r="D9" s="20" t="s">
        <v>335</v>
      </c>
      <c r="E9" s="21" t="s">
        <v>336</v>
      </c>
      <c r="F9" s="35" t="s">
        <v>394</v>
      </c>
      <c r="G9" s="23" t="s">
        <v>45</v>
      </c>
      <c r="H9" s="23" t="s">
        <v>45</v>
      </c>
      <c r="I9" s="23" t="s">
        <v>45</v>
      </c>
      <c r="J9" s="23" t="s">
        <v>45</v>
      </c>
      <c r="K9" s="24" t="s">
        <v>45</v>
      </c>
      <c r="L9" s="25" t="s">
        <v>395</v>
      </c>
      <c r="M9" s="26">
        <v>4.0</v>
      </c>
      <c r="N9" s="36"/>
      <c r="O9" s="27" t="s">
        <v>396</v>
      </c>
      <c r="P9" s="37" t="s">
        <v>397</v>
      </c>
      <c r="Q9" s="28" t="s">
        <v>45</v>
      </c>
      <c r="R9" s="28" t="s">
        <v>45</v>
      </c>
      <c r="S9" s="29" t="s">
        <v>71</v>
      </c>
      <c r="T9" s="30" t="s">
        <v>398</v>
      </c>
      <c r="U9" s="4"/>
      <c r="V9" s="4"/>
      <c r="W9" s="4"/>
      <c r="X9" s="4"/>
      <c r="Y9" s="4"/>
    </row>
    <row r="10">
      <c r="A10" s="18">
        <v>5.0</v>
      </c>
      <c r="B10" s="38"/>
      <c r="C10" s="19" t="s">
        <v>399</v>
      </c>
      <c r="D10" s="20" t="s">
        <v>335</v>
      </c>
      <c r="E10" s="21" t="s">
        <v>336</v>
      </c>
      <c r="F10" s="35" t="s">
        <v>400</v>
      </c>
      <c r="G10" s="23" t="s">
        <v>45</v>
      </c>
      <c r="H10" s="23" t="s">
        <v>45</v>
      </c>
      <c r="I10" s="23" t="s">
        <v>45</v>
      </c>
      <c r="J10" s="23" t="s">
        <v>45</v>
      </c>
      <c r="K10" s="24" t="s">
        <v>45</v>
      </c>
      <c r="L10" s="25" t="s">
        <v>401</v>
      </c>
      <c r="M10" s="26">
        <v>5.0</v>
      </c>
      <c r="N10" s="39"/>
      <c r="O10" s="27" t="s">
        <v>402</v>
      </c>
      <c r="P10" s="37" t="s">
        <v>403</v>
      </c>
      <c r="Q10" s="28" t="s">
        <v>45</v>
      </c>
      <c r="R10" s="28" t="s">
        <v>45</v>
      </c>
      <c r="S10" s="29" t="s">
        <v>45</v>
      </c>
      <c r="T10" s="30" t="s">
        <v>404</v>
      </c>
      <c r="U10" s="4"/>
      <c r="V10" s="4"/>
      <c r="W10" s="4"/>
      <c r="X10" s="4"/>
      <c r="Y10" s="4"/>
    </row>
    <row r="11">
      <c r="A11" s="40">
        <v>6.0</v>
      </c>
      <c r="B11" s="41"/>
      <c r="C11" s="42" t="s">
        <v>405</v>
      </c>
      <c r="D11" s="43" t="s">
        <v>335</v>
      </c>
      <c r="E11" s="21" t="s">
        <v>336</v>
      </c>
      <c r="F11" s="45" t="s">
        <v>406</v>
      </c>
      <c r="G11" s="47" t="s">
        <v>45</v>
      </c>
      <c r="H11" s="47" t="s">
        <v>45</v>
      </c>
      <c r="I11" s="47" t="s">
        <v>45</v>
      </c>
      <c r="J11" s="47" t="s">
        <v>45</v>
      </c>
      <c r="K11" s="48" t="s">
        <v>45</v>
      </c>
      <c r="L11" s="49" t="s">
        <v>407</v>
      </c>
      <c r="M11" s="50">
        <v>6.0</v>
      </c>
      <c r="N11" s="51"/>
      <c r="O11" s="52" t="s">
        <v>408</v>
      </c>
      <c r="P11" s="53" t="s">
        <v>409</v>
      </c>
      <c r="Q11" s="54" t="s">
        <v>45</v>
      </c>
      <c r="R11" s="54" t="s">
        <v>45</v>
      </c>
      <c r="S11" s="55" t="s">
        <v>45</v>
      </c>
      <c r="T11" s="56" t="s">
        <v>410</v>
      </c>
      <c r="U11" s="4"/>
      <c r="V11" s="4"/>
      <c r="W11" s="4"/>
      <c r="X11" s="4"/>
      <c r="Y11" s="4"/>
    </row>
    <row r="12">
      <c r="A12" s="2"/>
      <c r="B12" s="2"/>
      <c r="C12" s="2"/>
      <c r="D12" s="2"/>
      <c r="E12" s="2"/>
      <c r="F12" s="1" t="s">
        <v>411</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4</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412</v>
      </c>
      <c r="C2" s="65" t="s">
        <v>413</v>
      </c>
      <c r="D2" s="4"/>
      <c r="E2" s="65" t="s">
        <v>414</v>
      </c>
      <c r="F2" s="4"/>
      <c r="G2" s="4"/>
      <c r="H2" s="4"/>
      <c r="I2" s="4"/>
      <c r="J2" s="4"/>
      <c r="K2" s="4"/>
      <c r="L2" s="4"/>
      <c r="M2" s="4"/>
      <c r="N2" s="4"/>
      <c r="O2" s="4"/>
      <c r="P2" s="4"/>
      <c r="Q2" s="4"/>
      <c r="R2" s="4"/>
      <c r="S2" s="4"/>
      <c r="T2" s="4"/>
      <c r="U2" s="4"/>
      <c r="V2" s="4"/>
      <c r="W2" s="4"/>
      <c r="X2" s="4"/>
      <c r="Y2" s="4"/>
    </row>
    <row r="3">
      <c r="A3" s="1" t="s">
        <v>4</v>
      </c>
      <c r="B3" s="65" t="s">
        <v>415</v>
      </c>
      <c r="C3" s="65" t="s">
        <v>416</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417</v>
      </c>
      <c r="C6" s="19" t="s">
        <v>418</v>
      </c>
      <c r="D6" s="20" t="s">
        <v>291</v>
      </c>
      <c r="E6" s="21" t="s">
        <v>292</v>
      </c>
      <c r="F6" s="19" t="s">
        <v>419</v>
      </c>
      <c r="G6" s="23" t="s">
        <v>45</v>
      </c>
      <c r="H6" s="23" t="s">
        <v>45</v>
      </c>
      <c r="I6" s="23" t="s">
        <v>45</v>
      </c>
      <c r="J6" s="23" t="s">
        <v>45</v>
      </c>
      <c r="K6" s="24" t="s">
        <v>45</v>
      </c>
      <c r="L6" s="25" t="s">
        <v>420</v>
      </c>
      <c r="M6" s="26">
        <v>1.0</v>
      </c>
      <c r="N6" s="27" t="s">
        <v>421</v>
      </c>
      <c r="O6" s="27" t="s">
        <v>422</v>
      </c>
      <c r="P6" s="27" t="s">
        <v>423</v>
      </c>
      <c r="Q6" s="28" t="s">
        <v>45</v>
      </c>
      <c r="R6" s="28" t="s">
        <v>45</v>
      </c>
      <c r="S6" s="29" t="s">
        <v>71</v>
      </c>
      <c r="T6" s="30" t="s">
        <v>424</v>
      </c>
      <c r="U6" s="4"/>
      <c r="V6" s="4"/>
      <c r="W6" s="4"/>
      <c r="X6" s="4"/>
      <c r="Y6" s="4"/>
    </row>
    <row r="7">
      <c r="A7" s="18">
        <v>2.0</v>
      </c>
      <c r="B7" s="31"/>
      <c r="C7" s="19" t="s">
        <v>425</v>
      </c>
      <c r="D7" s="20" t="s">
        <v>291</v>
      </c>
      <c r="E7" s="21" t="s">
        <v>292</v>
      </c>
      <c r="F7" s="21" t="s">
        <v>426</v>
      </c>
      <c r="G7" s="23" t="s">
        <v>45</v>
      </c>
      <c r="H7" s="23" t="s">
        <v>45</v>
      </c>
      <c r="I7" s="23" t="s">
        <v>45</v>
      </c>
      <c r="J7" s="23" t="s">
        <v>45</v>
      </c>
      <c r="K7" s="24" t="s">
        <v>45</v>
      </c>
      <c r="L7" s="25" t="s">
        <v>427</v>
      </c>
      <c r="M7" s="26">
        <v>2.0</v>
      </c>
      <c r="N7" s="32"/>
      <c r="O7" s="27" t="s">
        <v>428</v>
      </c>
      <c r="P7" s="33" t="s">
        <v>429</v>
      </c>
      <c r="Q7" s="28" t="s">
        <v>45</v>
      </c>
      <c r="R7" s="28" t="s">
        <v>45</v>
      </c>
      <c r="S7" s="29" t="s">
        <v>71</v>
      </c>
      <c r="T7" s="30" t="s">
        <v>430</v>
      </c>
      <c r="U7" s="4"/>
      <c r="V7" s="4"/>
      <c r="W7" s="4"/>
      <c r="X7" s="4"/>
      <c r="Y7" s="4"/>
    </row>
    <row r="8">
      <c r="A8" s="18">
        <v>3.0</v>
      </c>
      <c r="B8" s="31"/>
      <c r="C8" s="19" t="s">
        <v>431</v>
      </c>
      <c r="D8" s="20" t="s">
        <v>291</v>
      </c>
      <c r="E8" s="21" t="s">
        <v>292</v>
      </c>
      <c r="F8" s="21" t="s">
        <v>432</v>
      </c>
      <c r="G8" s="23" t="s">
        <v>45</v>
      </c>
      <c r="H8" s="23" t="s">
        <v>45</v>
      </c>
      <c r="I8" s="23" t="s">
        <v>45</v>
      </c>
      <c r="J8" s="23" t="s">
        <v>45</v>
      </c>
      <c r="K8" s="24" t="s">
        <v>45</v>
      </c>
      <c r="L8" s="25" t="s">
        <v>433</v>
      </c>
      <c r="M8" s="26">
        <v>3.0</v>
      </c>
      <c r="N8" s="32"/>
      <c r="O8" s="27" t="s">
        <v>434</v>
      </c>
      <c r="P8" s="33" t="s">
        <v>435</v>
      </c>
      <c r="Q8" s="28" t="s">
        <v>45</v>
      </c>
      <c r="R8" s="28" t="s">
        <v>45</v>
      </c>
      <c r="S8" s="29" t="s">
        <v>71</v>
      </c>
      <c r="T8" s="30" t="s">
        <v>436</v>
      </c>
      <c r="U8" s="4"/>
      <c r="V8" s="4"/>
      <c r="W8" s="4"/>
      <c r="X8" s="4"/>
      <c r="Y8" s="4"/>
    </row>
    <row r="9">
      <c r="A9" s="18">
        <v>4.0</v>
      </c>
      <c r="B9" s="34"/>
      <c r="C9" s="19" t="s">
        <v>437</v>
      </c>
      <c r="D9" s="20" t="s">
        <v>335</v>
      </c>
      <c r="E9" s="21" t="s">
        <v>355</v>
      </c>
      <c r="F9" s="35" t="s">
        <v>438</v>
      </c>
      <c r="G9" s="23" t="s">
        <v>45</v>
      </c>
      <c r="H9" s="23" t="s">
        <v>45</v>
      </c>
      <c r="I9" s="23" t="s">
        <v>45</v>
      </c>
      <c r="J9" s="23" t="s">
        <v>45</v>
      </c>
      <c r="K9" s="24" t="s">
        <v>45</v>
      </c>
      <c r="L9" s="25" t="s">
        <v>439</v>
      </c>
      <c r="M9" s="26">
        <v>4.0</v>
      </c>
      <c r="N9" s="36"/>
      <c r="O9" s="27" t="s">
        <v>440</v>
      </c>
      <c r="P9" s="37" t="s">
        <v>441</v>
      </c>
      <c r="Q9" s="28" t="s">
        <v>45</v>
      </c>
      <c r="R9" s="28" t="s">
        <v>45</v>
      </c>
      <c r="S9" s="29" t="s">
        <v>71</v>
      </c>
      <c r="T9" s="30" t="s">
        <v>442</v>
      </c>
      <c r="U9" s="4"/>
      <c r="V9" s="4"/>
      <c r="W9" s="4"/>
      <c r="X9" s="4"/>
      <c r="Y9" s="4"/>
    </row>
    <row r="10">
      <c r="A10" s="18">
        <v>5.0</v>
      </c>
      <c r="B10" s="38"/>
      <c r="C10" s="19" t="s">
        <v>443</v>
      </c>
      <c r="D10" s="20" t="s">
        <v>335</v>
      </c>
      <c r="E10" s="21" t="s">
        <v>355</v>
      </c>
      <c r="F10" s="35" t="s">
        <v>444</v>
      </c>
      <c r="G10" s="23" t="s">
        <v>45</v>
      </c>
      <c r="H10" s="23" t="s">
        <v>45</v>
      </c>
      <c r="I10" s="23" t="s">
        <v>45</v>
      </c>
      <c r="J10" s="23" t="s">
        <v>45</v>
      </c>
      <c r="K10" s="24" t="s">
        <v>45</v>
      </c>
      <c r="L10" s="25" t="s">
        <v>445</v>
      </c>
      <c r="M10" s="26">
        <v>5.0</v>
      </c>
      <c r="N10" s="39"/>
      <c r="O10" s="27" t="s">
        <v>446</v>
      </c>
      <c r="P10" s="37" t="s">
        <v>447</v>
      </c>
      <c r="Q10" s="28" t="s">
        <v>45</v>
      </c>
      <c r="R10" s="28" t="s">
        <v>45</v>
      </c>
      <c r="S10" s="29" t="s">
        <v>71</v>
      </c>
      <c r="T10" s="30" t="s">
        <v>448</v>
      </c>
      <c r="U10" s="4"/>
      <c r="V10" s="4"/>
      <c r="W10" s="4"/>
      <c r="X10" s="4"/>
      <c r="Y10" s="4"/>
    </row>
    <row r="11">
      <c r="A11" s="40">
        <v>6.0</v>
      </c>
      <c r="B11" s="41"/>
      <c r="C11" s="42" t="s">
        <v>449</v>
      </c>
      <c r="D11" s="43" t="s">
        <v>335</v>
      </c>
      <c r="E11" s="44" t="s">
        <v>355</v>
      </c>
      <c r="F11" s="45" t="s">
        <v>450</v>
      </c>
      <c r="G11" s="47" t="s">
        <v>45</v>
      </c>
      <c r="H11" s="47" t="s">
        <v>45</v>
      </c>
      <c r="I11" s="47" t="s">
        <v>45</v>
      </c>
      <c r="J11" s="47" t="s">
        <v>45</v>
      </c>
      <c r="K11" s="48" t="s">
        <v>45</v>
      </c>
      <c r="L11" s="49" t="s">
        <v>451</v>
      </c>
      <c r="M11" s="50">
        <v>6.0</v>
      </c>
      <c r="N11" s="51"/>
      <c r="O11" s="52" t="s">
        <v>452</v>
      </c>
      <c r="P11" s="53" t="s">
        <v>453</v>
      </c>
      <c r="Q11" s="54" t="s">
        <v>45</v>
      </c>
      <c r="R11" s="54" t="s">
        <v>45</v>
      </c>
      <c r="S11" s="55" t="s">
        <v>71</v>
      </c>
      <c r="T11" s="56" t="s">
        <v>454</v>
      </c>
      <c r="U11" s="4"/>
      <c r="V11" s="4"/>
      <c r="W11" s="4"/>
      <c r="X11" s="4"/>
      <c r="Y11" s="4"/>
    </row>
    <row r="12">
      <c r="A12" s="2"/>
      <c r="B12" s="2"/>
      <c r="C12" s="2"/>
      <c r="D12" s="2"/>
      <c r="E12" s="2"/>
      <c r="F12" s="1" t="s">
        <v>455</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sheetViews>
  <sheetFormatPr customHeight="1" defaultColWidth="12.63" defaultRowHeight="15.75"/>
  <cols>
    <col customWidth="1" min="1" max="1" width="6.63"/>
    <col customWidth="1" min="2" max="2" width="14.25"/>
    <col customWidth="1" min="3" max="3" width="33.38"/>
    <col customWidth="1" min="4" max="4" width="17.38"/>
    <col customWidth="1" min="5" max="6" width="35.5"/>
    <col customWidth="1" min="7" max="7" width="14.75"/>
    <col customWidth="1" min="8" max="11" width="17.13"/>
    <col customWidth="1" min="12" max="12" width="86.75"/>
    <col customWidth="1" min="13" max="13" width="10.5"/>
    <col customWidth="1" min="14" max="14" width="15.25"/>
    <col customWidth="1" min="15" max="16" width="35.5"/>
    <col customWidth="1" min="17" max="19" width="17.13"/>
    <col customWidth="1" min="20" max="20" width="54.25"/>
  </cols>
  <sheetData>
    <row r="1">
      <c r="A1" s="1"/>
      <c r="B1" s="1" t="s">
        <v>0</v>
      </c>
      <c r="C1" s="1" t="s">
        <v>1</v>
      </c>
      <c r="D1" s="2"/>
      <c r="E1" s="1" t="s">
        <v>2</v>
      </c>
      <c r="F1" s="2"/>
      <c r="G1" s="2"/>
      <c r="H1" s="2"/>
      <c r="I1" s="2"/>
      <c r="J1" s="2"/>
      <c r="K1" s="2"/>
      <c r="L1" s="2"/>
      <c r="M1" s="2"/>
      <c r="N1" s="2"/>
      <c r="O1" s="2"/>
      <c r="P1" s="2"/>
      <c r="Q1" s="2"/>
      <c r="R1" s="2"/>
      <c r="S1" s="2"/>
      <c r="T1" s="2"/>
      <c r="U1" s="2"/>
      <c r="V1" s="2"/>
      <c r="W1" s="2"/>
      <c r="X1" s="2"/>
      <c r="Y1" s="2"/>
    </row>
    <row r="2">
      <c r="A2" s="1" t="s">
        <v>3</v>
      </c>
      <c r="B2" s="65" t="s">
        <v>456</v>
      </c>
      <c r="C2" s="65" t="s">
        <v>457</v>
      </c>
      <c r="D2" s="4"/>
      <c r="E2" s="65" t="s">
        <v>458</v>
      </c>
      <c r="F2" s="4"/>
      <c r="G2" s="4"/>
      <c r="H2" s="4"/>
      <c r="I2" s="4"/>
      <c r="J2" s="4"/>
      <c r="K2" s="4"/>
      <c r="L2" s="4"/>
      <c r="M2" s="4"/>
      <c r="N2" s="4"/>
      <c r="O2" s="4"/>
      <c r="P2" s="4"/>
      <c r="Q2" s="4"/>
      <c r="R2" s="4"/>
      <c r="S2" s="4"/>
      <c r="T2" s="4"/>
      <c r="U2" s="4"/>
      <c r="V2" s="4"/>
      <c r="W2" s="4"/>
      <c r="X2" s="4"/>
      <c r="Y2" s="4"/>
    </row>
    <row r="3">
      <c r="A3" s="1" t="s">
        <v>4</v>
      </c>
      <c r="B3" s="65" t="s">
        <v>459</v>
      </c>
      <c r="C3" s="65" t="s">
        <v>460</v>
      </c>
      <c r="D3" s="4"/>
      <c r="E3" s="4"/>
      <c r="F3" s="4"/>
      <c r="G3" s="4"/>
      <c r="H3" s="4"/>
      <c r="I3" s="4"/>
      <c r="J3" s="4"/>
      <c r="K3" s="4"/>
      <c r="L3" s="4"/>
      <c r="M3" s="4"/>
      <c r="N3" s="4"/>
      <c r="O3" s="4"/>
      <c r="P3" s="4"/>
      <c r="Q3" s="4"/>
      <c r="R3" s="4"/>
      <c r="S3" s="4"/>
      <c r="T3" s="4"/>
      <c r="U3" s="4"/>
      <c r="V3" s="4"/>
      <c r="W3" s="4"/>
      <c r="X3" s="4"/>
      <c r="Y3" s="4"/>
    </row>
    <row r="4">
      <c r="A4" s="5" t="s">
        <v>0</v>
      </c>
      <c r="B4" s="6"/>
      <c r="C4" s="6"/>
      <c r="D4" s="6"/>
      <c r="E4" s="6"/>
      <c r="F4" s="6"/>
      <c r="G4" s="6"/>
      <c r="H4" s="6"/>
      <c r="I4" s="6"/>
      <c r="J4" s="6"/>
      <c r="K4" s="7"/>
      <c r="L4" s="8"/>
      <c r="M4" s="9" t="s">
        <v>1</v>
      </c>
      <c r="N4" s="6"/>
      <c r="O4" s="6"/>
      <c r="P4" s="6"/>
      <c r="Q4" s="6"/>
      <c r="R4" s="6"/>
      <c r="S4" s="7"/>
      <c r="T4" s="10"/>
      <c r="U4" s="4"/>
      <c r="V4" s="4"/>
      <c r="W4" s="4"/>
      <c r="X4" s="4"/>
      <c r="Y4" s="4"/>
    </row>
    <row r="5" ht="53.25" customHeight="1">
      <c r="A5" s="11" t="s">
        <v>5</v>
      </c>
      <c r="B5" s="12" t="s">
        <v>6</v>
      </c>
      <c r="C5" s="12" t="s">
        <v>7</v>
      </c>
      <c r="D5" s="12" t="s">
        <v>8</v>
      </c>
      <c r="E5" s="13" t="s">
        <v>9</v>
      </c>
      <c r="F5" s="13" t="s">
        <v>10</v>
      </c>
      <c r="G5" s="12" t="s">
        <v>11</v>
      </c>
      <c r="H5" s="12" t="s">
        <v>12</v>
      </c>
      <c r="I5" s="12" t="s">
        <v>13</v>
      </c>
      <c r="J5" s="12" t="s">
        <v>14</v>
      </c>
      <c r="K5" s="14" t="s">
        <v>15</v>
      </c>
      <c r="L5" s="15" t="s">
        <v>16</v>
      </c>
      <c r="M5" s="11" t="s">
        <v>17</v>
      </c>
      <c r="N5" s="12" t="s">
        <v>18</v>
      </c>
      <c r="O5" s="12" t="s">
        <v>19</v>
      </c>
      <c r="P5" s="13" t="s">
        <v>20</v>
      </c>
      <c r="Q5" s="12" t="s">
        <v>21</v>
      </c>
      <c r="R5" s="12" t="s">
        <v>22</v>
      </c>
      <c r="S5" s="14" t="s">
        <v>23</v>
      </c>
      <c r="T5" s="16" t="s">
        <v>24</v>
      </c>
      <c r="U5" s="17"/>
      <c r="V5" s="17"/>
      <c r="W5" s="17"/>
      <c r="X5" s="17"/>
      <c r="Y5" s="17"/>
    </row>
    <row r="6">
      <c r="A6" s="18">
        <v>1.0</v>
      </c>
      <c r="B6" s="19" t="s">
        <v>461</v>
      </c>
      <c r="C6" s="19" t="s">
        <v>462</v>
      </c>
      <c r="D6" s="20" t="s">
        <v>463</v>
      </c>
      <c r="E6" s="21" t="s">
        <v>464</v>
      </c>
      <c r="F6" s="19" t="s">
        <v>465</v>
      </c>
      <c r="G6" s="23" t="s">
        <v>45</v>
      </c>
      <c r="H6" s="23" t="s">
        <v>45</v>
      </c>
      <c r="I6" s="23" t="s">
        <v>45</v>
      </c>
      <c r="J6" s="23" t="s">
        <v>45</v>
      </c>
      <c r="K6" s="24" t="s">
        <v>45</v>
      </c>
      <c r="L6" s="25" t="s">
        <v>466</v>
      </c>
      <c r="M6" s="26">
        <v>1.0</v>
      </c>
      <c r="N6" s="27" t="s">
        <v>467</v>
      </c>
      <c r="O6" s="27" t="s">
        <v>468</v>
      </c>
      <c r="P6" s="27" t="s">
        <v>469</v>
      </c>
      <c r="Q6" s="28" t="s">
        <v>45</v>
      </c>
      <c r="R6" s="28" t="s">
        <v>45</v>
      </c>
      <c r="S6" s="29" t="s">
        <v>71</v>
      </c>
      <c r="T6" s="30" t="s">
        <v>470</v>
      </c>
      <c r="U6" s="4"/>
      <c r="V6" s="4"/>
      <c r="W6" s="4"/>
      <c r="X6" s="4"/>
      <c r="Y6" s="4"/>
    </row>
    <row r="7">
      <c r="A7" s="18">
        <v>2.0</v>
      </c>
      <c r="B7" s="31"/>
      <c r="C7" s="19" t="s">
        <v>471</v>
      </c>
      <c r="D7" s="20" t="s">
        <v>472</v>
      </c>
      <c r="E7" s="21" t="s">
        <v>473</v>
      </c>
      <c r="F7" s="21" t="s">
        <v>474</v>
      </c>
      <c r="G7" s="23" t="s">
        <v>45</v>
      </c>
      <c r="H7" s="23" t="s">
        <v>45</v>
      </c>
      <c r="I7" s="23" t="s">
        <v>45</v>
      </c>
      <c r="J7" s="23" t="s">
        <v>45</v>
      </c>
      <c r="K7" s="24" t="s">
        <v>45</v>
      </c>
      <c r="L7" s="25" t="s">
        <v>475</v>
      </c>
      <c r="M7" s="26">
        <v>2.0</v>
      </c>
      <c r="N7" s="32"/>
      <c r="O7" s="27" t="s">
        <v>476</v>
      </c>
      <c r="P7" s="33" t="s">
        <v>477</v>
      </c>
      <c r="Q7" s="28" t="s">
        <v>45</v>
      </c>
      <c r="R7" s="28" t="s">
        <v>45</v>
      </c>
      <c r="S7" s="29" t="s">
        <v>71</v>
      </c>
      <c r="T7" s="30" t="s">
        <v>478</v>
      </c>
      <c r="U7" s="4"/>
      <c r="V7" s="4"/>
      <c r="W7" s="4"/>
      <c r="X7" s="4"/>
      <c r="Y7" s="4"/>
    </row>
    <row r="8">
      <c r="A8" s="18">
        <v>3.0</v>
      </c>
      <c r="B8" s="31"/>
      <c r="C8" s="19" t="s">
        <v>479</v>
      </c>
      <c r="D8" s="20" t="s">
        <v>335</v>
      </c>
      <c r="E8" s="21" t="s">
        <v>336</v>
      </c>
      <c r="F8" s="21" t="s">
        <v>480</v>
      </c>
      <c r="G8" s="23" t="s">
        <v>45</v>
      </c>
      <c r="H8" s="23" t="s">
        <v>45</v>
      </c>
      <c r="I8" s="23" t="s">
        <v>45</v>
      </c>
      <c r="J8" s="23" t="s">
        <v>45</v>
      </c>
      <c r="K8" s="24" t="s">
        <v>45</v>
      </c>
      <c r="L8" s="25" t="s">
        <v>481</v>
      </c>
      <c r="M8" s="26">
        <v>3.0</v>
      </c>
      <c r="N8" s="32"/>
      <c r="O8" s="27" t="s">
        <v>482</v>
      </c>
      <c r="P8" s="33" t="s">
        <v>483</v>
      </c>
      <c r="Q8" s="28" t="s">
        <v>45</v>
      </c>
      <c r="R8" s="28" t="s">
        <v>45</v>
      </c>
      <c r="S8" s="29" t="s">
        <v>71</v>
      </c>
      <c r="T8" s="30" t="s">
        <v>484</v>
      </c>
      <c r="U8" s="4"/>
      <c r="V8" s="4"/>
      <c r="W8" s="4"/>
      <c r="X8" s="4"/>
      <c r="Y8" s="4"/>
    </row>
    <row r="9">
      <c r="A9" s="18">
        <v>4.0</v>
      </c>
      <c r="B9" s="34"/>
      <c r="C9" s="19" t="s">
        <v>485</v>
      </c>
      <c r="D9" s="20" t="s">
        <v>472</v>
      </c>
      <c r="E9" s="21" t="s">
        <v>473</v>
      </c>
      <c r="F9" s="35" t="s">
        <v>486</v>
      </c>
      <c r="G9" s="23" t="s">
        <v>45</v>
      </c>
      <c r="H9" s="23" t="s">
        <v>45</v>
      </c>
      <c r="I9" s="23" t="s">
        <v>45</v>
      </c>
      <c r="J9" s="23" t="s">
        <v>45</v>
      </c>
      <c r="K9" s="24" t="s">
        <v>45</v>
      </c>
      <c r="L9" s="25" t="s">
        <v>487</v>
      </c>
      <c r="M9" s="26">
        <v>4.0</v>
      </c>
      <c r="N9" s="36"/>
      <c r="O9" s="27" t="s">
        <v>488</v>
      </c>
      <c r="P9" s="37" t="s">
        <v>489</v>
      </c>
      <c r="Q9" s="28" t="s">
        <v>45</v>
      </c>
      <c r="R9" s="28" t="s">
        <v>45</v>
      </c>
      <c r="S9" s="29" t="s">
        <v>71</v>
      </c>
      <c r="T9" s="30" t="s">
        <v>490</v>
      </c>
      <c r="U9" s="4"/>
      <c r="V9" s="4"/>
      <c r="W9" s="4"/>
      <c r="X9" s="4"/>
      <c r="Y9" s="4"/>
    </row>
    <row r="10">
      <c r="A10" s="18">
        <v>5.0</v>
      </c>
      <c r="B10" s="38"/>
      <c r="C10" s="19" t="s">
        <v>491</v>
      </c>
      <c r="D10" s="20" t="s">
        <v>335</v>
      </c>
      <c r="E10" s="21" t="s">
        <v>336</v>
      </c>
      <c r="F10" s="35" t="s">
        <v>492</v>
      </c>
      <c r="G10" s="23" t="s">
        <v>45</v>
      </c>
      <c r="H10" s="23" t="s">
        <v>45</v>
      </c>
      <c r="I10" s="23" t="s">
        <v>45</v>
      </c>
      <c r="J10" s="23" t="s">
        <v>45</v>
      </c>
      <c r="K10" s="24" t="s">
        <v>45</v>
      </c>
      <c r="L10" s="25" t="s">
        <v>493</v>
      </c>
      <c r="M10" s="26">
        <v>5.0</v>
      </c>
      <c r="N10" s="39"/>
      <c r="O10" s="27" t="s">
        <v>494</v>
      </c>
      <c r="P10" s="37" t="s">
        <v>495</v>
      </c>
      <c r="Q10" s="28" t="s">
        <v>45</v>
      </c>
      <c r="R10" s="28" t="s">
        <v>45</v>
      </c>
      <c r="S10" s="29" t="s">
        <v>71</v>
      </c>
      <c r="T10" s="30" t="s">
        <v>496</v>
      </c>
      <c r="U10" s="4"/>
      <c r="V10" s="4"/>
      <c r="W10" s="4"/>
      <c r="X10" s="4"/>
      <c r="Y10" s="4"/>
    </row>
    <row r="11">
      <c r="A11" s="40">
        <v>6.0</v>
      </c>
      <c r="B11" s="41"/>
      <c r="C11" s="42" t="s">
        <v>497</v>
      </c>
      <c r="D11" s="43" t="s">
        <v>472</v>
      </c>
      <c r="E11" s="44" t="s">
        <v>473</v>
      </c>
      <c r="F11" s="45" t="s">
        <v>498</v>
      </c>
      <c r="G11" s="47" t="s">
        <v>45</v>
      </c>
      <c r="H11" s="47" t="s">
        <v>45</v>
      </c>
      <c r="I11" s="47" t="s">
        <v>45</v>
      </c>
      <c r="J11" s="47" t="s">
        <v>45</v>
      </c>
      <c r="K11" s="48" t="s">
        <v>45</v>
      </c>
      <c r="L11" s="49" t="s">
        <v>499</v>
      </c>
      <c r="M11" s="50">
        <v>6.0</v>
      </c>
      <c r="N11" s="51"/>
      <c r="O11" s="52" t="s">
        <v>500</v>
      </c>
      <c r="P11" s="53" t="s">
        <v>501</v>
      </c>
      <c r="Q11" s="54" t="s">
        <v>45</v>
      </c>
      <c r="R11" s="54" t="s">
        <v>45</v>
      </c>
      <c r="S11" s="55" t="s">
        <v>71</v>
      </c>
      <c r="T11" s="56" t="s">
        <v>502</v>
      </c>
      <c r="U11" s="4"/>
      <c r="V11" s="4"/>
      <c r="W11" s="4"/>
      <c r="X11" s="4"/>
      <c r="Y11" s="4"/>
    </row>
    <row r="12">
      <c r="A12" s="2"/>
      <c r="B12" s="2"/>
      <c r="C12" s="2"/>
      <c r="D12" s="2"/>
      <c r="E12" s="2"/>
      <c r="F12" s="1" t="s">
        <v>503</v>
      </c>
      <c r="G12" s="57" t="s">
        <v>25</v>
      </c>
      <c r="H12" s="57" t="s">
        <v>26</v>
      </c>
      <c r="I12" s="57" t="s">
        <v>27</v>
      </c>
      <c r="J12" s="57" t="s">
        <v>28</v>
      </c>
      <c r="K12" s="57" t="s">
        <v>29</v>
      </c>
      <c r="L12" s="57" t="s">
        <v>30</v>
      </c>
      <c r="N12" s="2"/>
      <c r="O12" s="2"/>
      <c r="P12" s="2"/>
      <c r="Q12" s="58" t="s">
        <v>31</v>
      </c>
      <c r="R12" s="58" t="s">
        <v>32</v>
      </c>
      <c r="S12" s="58" t="s">
        <v>33</v>
      </c>
      <c r="T12" s="59" t="s">
        <v>34</v>
      </c>
      <c r="U12" s="2"/>
      <c r="V12" s="2"/>
      <c r="W12" s="2"/>
      <c r="X12" s="2"/>
      <c r="Y12" s="2"/>
    </row>
    <row r="13">
      <c r="A13" s="60"/>
      <c r="B13" s="60"/>
      <c r="C13" s="60"/>
      <c r="D13" s="60"/>
      <c r="E13" s="61"/>
      <c r="F13" s="61"/>
      <c r="G13" s="61">
        <f t="shared" ref="G13:K13" si="1">SUMPRODUCT((G6:G11="YES")*2 + (G6:G11="NOT SURE")*1 + (G6:G11="NO")*0, (G6:G11&lt;&gt;"")*(G6:G11&lt;&gt;"N/A"))</f>
        <v>12</v>
      </c>
      <c r="H13" s="60">
        <f t="shared" si="1"/>
        <v>12</v>
      </c>
      <c r="I13" s="60">
        <f t="shared" si="1"/>
        <v>12</v>
      </c>
      <c r="J13" s="60">
        <f t="shared" si="1"/>
        <v>12</v>
      </c>
      <c r="K13" s="60">
        <f t="shared" si="1"/>
        <v>12</v>
      </c>
      <c r="L13" s="62">
        <f>SUMPRODUCT((I6:K11="YES")*2 + (I6:K11="NOT SURE")*1 + (I6:K11="NO")*0, (I6:K11&lt;&gt;"")*(I6:K11&lt;&gt;"N/A"))</f>
        <v>36</v>
      </c>
      <c r="N13" s="60"/>
      <c r="O13" s="60"/>
      <c r="P13" s="60"/>
      <c r="Q13" s="60">
        <f t="shared" ref="Q13:S13" si="2">SUMPRODUCT((Q6:Q11="YES")*2 + (Q6:Q11="NOT SURE")*1 + (Q6:Q11="NO")*0, (Q6:Q11&lt;&gt;"")*(Q6:Q11&lt;&gt;"N/A"))</f>
        <v>12</v>
      </c>
      <c r="R13" s="60">
        <f t="shared" si="2"/>
        <v>12</v>
      </c>
      <c r="S13" s="60">
        <f t="shared" si="2"/>
        <v>0</v>
      </c>
      <c r="T13" s="63">
        <f>SUMPRODUCT((P6:R11="YES")*2 + (P6:R11="NOT SURE")*1 + (P6:R11="NO")*0, (P6:R11&lt;&gt;"")*(P6:R11&lt;&gt;"N/A"))</f>
        <v>24</v>
      </c>
      <c r="U13" s="60"/>
      <c r="V13" s="60"/>
      <c r="W13" s="60"/>
      <c r="X13" s="60"/>
      <c r="Y13" s="60"/>
    </row>
    <row r="14">
      <c r="A14" s="4"/>
      <c r="B14" s="4"/>
      <c r="C14" s="4"/>
      <c r="D14" s="4"/>
      <c r="E14" s="4"/>
      <c r="F14" s="4"/>
      <c r="G14" s="4"/>
      <c r="H14" s="4"/>
      <c r="I14" s="4"/>
      <c r="J14" s="4"/>
      <c r="K14" s="4"/>
      <c r="L14" s="4"/>
      <c r="M14" s="4"/>
      <c r="N14" s="4"/>
      <c r="O14" s="4"/>
      <c r="P14" s="4"/>
      <c r="Q14" s="4"/>
      <c r="R14" s="4"/>
      <c r="S14" s="4"/>
      <c r="T14" s="4"/>
      <c r="U14" s="4"/>
      <c r="V14" s="4"/>
      <c r="W14" s="4"/>
      <c r="X14" s="4"/>
      <c r="Y14" s="4"/>
    </row>
    <row r="15">
      <c r="A15" s="4"/>
      <c r="B15" s="4"/>
      <c r="C15" s="4"/>
      <c r="D15" s="4"/>
      <c r="E15" s="4"/>
      <c r="F15" s="4"/>
      <c r="G15" s="4"/>
      <c r="H15" s="4"/>
      <c r="I15" s="4"/>
      <c r="J15" s="4"/>
      <c r="K15" s="4"/>
      <c r="L15" s="4"/>
      <c r="M15" s="4"/>
      <c r="N15" s="4"/>
      <c r="O15" s="4"/>
      <c r="P15" s="4"/>
      <c r="Q15" s="4"/>
      <c r="R15" s="4"/>
      <c r="S15" s="4"/>
      <c r="T15" s="4"/>
      <c r="U15" s="4"/>
      <c r="V15" s="4"/>
      <c r="W15" s="4"/>
      <c r="X15" s="4"/>
      <c r="Y15" s="4"/>
    </row>
    <row r="16">
      <c r="A16" s="4"/>
      <c r="B16" s="4"/>
      <c r="C16" s="4"/>
      <c r="D16" s="4"/>
      <c r="E16" s="4"/>
      <c r="F16" s="4"/>
      <c r="G16" s="4"/>
      <c r="H16" s="4"/>
      <c r="I16" s="4"/>
      <c r="J16" s="4"/>
      <c r="K16" s="4"/>
      <c r="L16" s="4"/>
      <c r="M16" s="4"/>
      <c r="N16" s="64"/>
      <c r="O16" s="4"/>
      <c r="P16" s="4"/>
      <c r="Q16" s="4"/>
      <c r="R16" s="4"/>
      <c r="S16" s="4"/>
      <c r="T16" s="4"/>
      <c r="U16" s="4"/>
      <c r="V16" s="4"/>
      <c r="W16" s="4"/>
      <c r="X16" s="4"/>
      <c r="Y16" s="4"/>
    </row>
    <row r="17">
      <c r="A17" s="4"/>
      <c r="B17" s="4"/>
      <c r="C17" s="4"/>
      <c r="D17" s="3"/>
      <c r="E17" s="4"/>
      <c r="F17" s="4"/>
      <c r="G17" s="4"/>
      <c r="H17" s="4"/>
      <c r="I17" s="4"/>
      <c r="J17" s="4"/>
      <c r="K17" s="4"/>
      <c r="L17" s="4"/>
      <c r="M17" s="4"/>
      <c r="N17" s="4"/>
      <c r="O17" s="4"/>
      <c r="P17" s="4"/>
      <c r="Q17" s="4"/>
      <c r="R17" s="4"/>
      <c r="S17" s="4"/>
      <c r="T17" s="4"/>
      <c r="U17" s="4"/>
      <c r="V17" s="4"/>
      <c r="W17" s="4"/>
      <c r="X17" s="4"/>
      <c r="Y17" s="4"/>
    </row>
    <row r="18">
      <c r="A18" s="4"/>
      <c r="B18" s="4"/>
      <c r="C18" s="4"/>
      <c r="D18" s="4"/>
      <c r="E18" s="4"/>
      <c r="F18" s="4"/>
      <c r="G18" s="4"/>
      <c r="H18" s="4"/>
      <c r="I18" s="4"/>
      <c r="J18" s="4"/>
      <c r="K18" s="4"/>
      <c r="L18" s="4"/>
      <c r="M18" s="4"/>
      <c r="N18" s="4"/>
      <c r="O18" s="4"/>
      <c r="P18" s="4"/>
      <c r="Q18" s="4"/>
      <c r="R18" s="4"/>
      <c r="S18" s="4"/>
      <c r="T18" s="4"/>
      <c r="U18" s="4"/>
      <c r="V18" s="4"/>
      <c r="W18" s="4"/>
      <c r="X18" s="4"/>
      <c r="Y18" s="4"/>
    </row>
    <row r="19">
      <c r="A19" s="4"/>
      <c r="B19" s="4"/>
      <c r="C19" s="4"/>
      <c r="D19" s="4"/>
      <c r="E19" s="4"/>
      <c r="F19" s="4"/>
      <c r="G19" s="4"/>
      <c r="H19" s="4"/>
      <c r="I19" s="4"/>
      <c r="J19" s="4"/>
      <c r="K19" s="4"/>
      <c r="L19" s="4"/>
      <c r="M19" s="4"/>
      <c r="N19" s="4"/>
      <c r="O19" s="4"/>
      <c r="P19" s="4"/>
      <c r="Q19" s="4"/>
      <c r="R19" s="4"/>
      <c r="S19" s="4"/>
      <c r="T19" s="4"/>
      <c r="U19" s="4"/>
      <c r="V19" s="4"/>
      <c r="W19" s="4"/>
      <c r="X19" s="4"/>
      <c r="Y19" s="4"/>
    </row>
    <row r="20">
      <c r="A20" s="4"/>
      <c r="B20" s="4"/>
      <c r="C20" s="4"/>
      <c r="D20" s="4"/>
      <c r="E20" s="4"/>
      <c r="F20" s="4"/>
      <c r="G20" s="4"/>
      <c r="H20" s="4"/>
      <c r="I20" s="4"/>
      <c r="J20" s="4"/>
      <c r="K20" s="4"/>
      <c r="L20" s="4"/>
      <c r="M20" s="4"/>
      <c r="N20" s="4"/>
      <c r="O20" s="4"/>
      <c r="P20" s="4"/>
      <c r="Q20" s="4"/>
      <c r="R20" s="4"/>
      <c r="S20" s="4"/>
      <c r="T20" s="4"/>
      <c r="U20" s="4"/>
      <c r="V20" s="4"/>
      <c r="W20" s="4"/>
      <c r="X20" s="4"/>
      <c r="Y20" s="4"/>
    </row>
    <row r="21">
      <c r="A21" s="4"/>
      <c r="B21" s="4"/>
      <c r="C21" s="4"/>
      <c r="D21" s="4"/>
      <c r="E21" s="4"/>
      <c r="F21" s="4"/>
      <c r="G21" s="4"/>
      <c r="H21" s="4"/>
      <c r="I21" s="4"/>
      <c r="J21" s="4"/>
      <c r="K21" s="4"/>
      <c r="L21" s="4"/>
      <c r="M21" s="4"/>
      <c r="N21" s="4"/>
      <c r="O21" s="4"/>
      <c r="P21" s="4"/>
      <c r="Q21" s="4"/>
      <c r="R21" s="4"/>
      <c r="S21" s="4"/>
      <c r="T21" s="4"/>
      <c r="U21" s="4"/>
      <c r="V21" s="4"/>
      <c r="W21" s="4"/>
      <c r="X21" s="4"/>
      <c r="Y21" s="4"/>
    </row>
    <row r="22">
      <c r="A22" s="4"/>
      <c r="B22" s="4"/>
      <c r="C22" s="4"/>
      <c r="D22" s="4"/>
      <c r="E22" s="4"/>
      <c r="F22" s="4"/>
      <c r="G22" s="4"/>
      <c r="H22" s="4"/>
      <c r="I22" s="4"/>
      <c r="J22" s="4"/>
      <c r="K22" s="4"/>
      <c r="L22" s="4"/>
      <c r="M22" s="4"/>
      <c r="N22" s="4"/>
      <c r="O22" s="4"/>
      <c r="P22" s="4"/>
      <c r="Q22" s="4"/>
      <c r="R22" s="4"/>
      <c r="S22" s="4"/>
      <c r="T22" s="4"/>
      <c r="U22" s="4"/>
      <c r="V22" s="4"/>
      <c r="W22" s="4"/>
      <c r="X22" s="4"/>
      <c r="Y22" s="4"/>
    </row>
    <row r="23">
      <c r="A23" s="4"/>
      <c r="B23" s="4"/>
      <c r="C23" s="4"/>
      <c r="D23" s="4"/>
      <c r="E23" s="4"/>
      <c r="F23" s="4"/>
      <c r="G23" s="4"/>
      <c r="H23" s="4"/>
      <c r="I23" s="4"/>
      <c r="J23" s="4"/>
      <c r="K23" s="4"/>
      <c r="L23" s="4"/>
      <c r="M23" s="4"/>
      <c r="N23" s="4"/>
      <c r="O23" s="4"/>
      <c r="P23" s="4"/>
      <c r="Q23" s="4"/>
      <c r="R23" s="4"/>
      <c r="S23" s="4"/>
      <c r="T23" s="4"/>
      <c r="U23" s="4"/>
      <c r="V23" s="4"/>
      <c r="W23" s="4"/>
      <c r="X23" s="4"/>
      <c r="Y23" s="4"/>
    </row>
    <row r="24">
      <c r="A24" s="4"/>
      <c r="B24" s="4"/>
      <c r="C24" s="4"/>
      <c r="D24" s="4"/>
      <c r="E24" s="4"/>
      <c r="F24" s="4"/>
      <c r="G24" s="4"/>
      <c r="H24" s="4"/>
      <c r="I24" s="4"/>
      <c r="J24" s="4"/>
      <c r="K24" s="4"/>
      <c r="L24" s="4"/>
      <c r="M24" s="4"/>
      <c r="N24" s="4"/>
      <c r="O24" s="4"/>
      <c r="P24" s="4"/>
      <c r="Q24" s="4"/>
      <c r="R24" s="4"/>
      <c r="S24" s="4"/>
      <c r="T24" s="4"/>
      <c r="U24" s="4"/>
      <c r="V24" s="4"/>
      <c r="W24" s="4"/>
      <c r="X24" s="4"/>
      <c r="Y24" s="4"/>
    </row>
    <row r="25">
      <c r="A25" s="4"/>
      <c r="B25" s="4"/>
      <c r="C25" s="4"/>
      <c r="D25" s="4"/>
      <c r="E25" s="4"/>
      <c r="F25" s="4"/>
      <c r="G25" s="4"/>
      <c r="H25" s="4"/>
      <c r="I25" s="4"/>
      <c r="J25" s="4"/>
      <c r="K25" s="4"/>
      <c r="L25" s="4"/>
      <c r="M25" s="4"/>
      <c r="N25" s="4"/>
      <c r="O25" s="4"/>
      <c r="P25" s="4"/>
      <c r="Q25" s="4"/>
      <c r="R25" s="4"/>
      <c r="S25" s="4"/>
      <c r="T25" s="4"/>
      <c r="U25" s="4"/>
      <c r="V25" s="4"/>
      <c r="W25" s="4"/>
      <c r="X25" s="4"/>
      <c r="Y25" s="4"/>
    </row>
    <row r="26">
      <c r="A26" s="4"/>
      <c r="B26" s="4"/>
      <c r="C26" s="4"/>
      <c r="D26" s="4"/>
      <c r="E26" s="4"/>
      <c r="F26" s="4"/>
      <c r="G26" s="4"/>
      <c r="H26" s="4"/>
      <c r="I26" s="4"/>
      <c r="J26" s="4"/>
      <c r="K26" s="4"/>
      <c r="L26" s="4"/>
      <c r="M26" s="4"/>
      <c r="N26" s="4"/>
      <c r="O26" s="4"/>
      <c r="P26" s="4"/>
      <c r="Q26" s="4"/>
      <c r="R26" s="4"/>
      <c r="S26" s="4"/>
      <c r="T26" s="4"/>
      <c r="U26" s="4"/>
      <c r="V26" s="4"/>
      <c r="W26" s="4"/>
      <c r="X26" s="4"/>
      <c r="Y26" s="4"/>
    </row>
    <row r="27">
      <c r="A27" s="4"/>
      <c r="B27" s="4"/>
      <c r="C27" s="4"/>
      <c r="D27" s="4"/>
      <c r="E27" s="4"/>
      <c r="F27" s="4"/>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sheetData>
  <mergeCells count="2">
    <mergeCell ref="A4:K4"/>
    <mergeCell ref="M4:S4"/>
  </mergeCells>
  <conditionalFormatting sqref="L13">
    <cfRule type="colorScale" priority="1">
      <colorScale>
        <cfvo type="min"/>
        <cfvo type="max"/>
        <color rgb="FFFFFFFF"/>
        <color rgb="FFFFD666"/>
      </colorScale>
    </cfRule>
  </conditionalFormatting>
  <dataValidations>
    <dataValidation type="list" allowBlank="1" sqref="G6:H11">
      <formula1>"YES,NO,NOT SURE"</formula1>
    </dataValidation>
    <dataValidation type="list" allowBlank="1" sqref="I6:K11 Q6:S11">
      <formula1>"YES,NO,NOT SURE"</formula1>
    </dataValidation>
    <dataValidation allowBlank="1" showDropDown="1" sqref="B6:D11 N6:O11"/>
  </dataValidations>
  <hyperlinks>
    <hyperlink r:id="rId2" ref="B2"/>
    <hyperlink r:id="rId3" ref="C2"/>
    <hyperlink r:id="rId4" ref="E2"/>
    <hyperlink r:id="rId5" ref="B3"/>
    <hyperlink r:id="rId6" ref="C3"/>
  </hyperlinks>
  <printOptions gridLines="1" horizontalCentered="1"/>
  <pageMargins bottom="0.75" footer="0.0" header="0.0" left="0.25" right="0.25" top="0.75"/>
  <pageSetup cellComments="atEnd" orientation="landscape" pageOrder="overThenDown"/>
  <drawing r:id="rId7"/>
  <legacyDrawing r:id="rId8"/>
  <tableParts count="1">
    <tablePart r:id="rId10"/>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26" width="23.13"/>
  </cols>
  <sheetData>
    <row r="1">
      <c r="A1" s="69" t="s">
        <v>504</v>
      </c>
      <c r="B1" s="70" t="s">
        <v>505</v>
      </c>
      <c r="C1" s="70" t="s">
        <v>506</v>
      </c>
      <c r="D1" s="70" t="s">
        <v>507</v>
      </c>
      <c r="E1" s="70" t="s">
        <v>508</v>
      </c>
      <c r="F1" s="71"/>
      <c r="G1" s="71"/>
      <c r="H1" s="71"/>
      <c r="I1" s="71"/>
      <c r="J1" s="71"/>
      <c r="K1" s="71"/>
      <c r="L1" s="71"/>
      <c r="M1" s="71"/>
      <c r="N1" s="71"/>
      <c r="O1" s="71"/>
      <c r="P1" s="71"/>
      <c r="Q1" s="71"/>
      <c r="R1" s="71"/>
      <c r="S1" s="71"/>
      <c r="T1" s="71"/>
      <c r="U1" s="71"/>
      <c r="V1" s="71"/>
      <c r="W1" s="71"/>
      <c r="X1" s="71"/>
      <c r="Y1" s="71"/>
      <c r="Z1" s="71"/>
    </row>
    <row r="2">
      <c r="A2" s="72" t="s">
        <v>509</v>
      </c>
      <c r="B2" s="73">
        <f>AVERAGE('A-1'!L13,'A-2'!L13,'A-3'!L13,'A-4'!L13,'A-5'!L13)</f>
        <v>36</v>
      </c>
      <c r="C2" s="73">
        <f>AVERAGE('A-1'!T13,'A-2'!T13,'A-3'!T13,'A-4'!T13,'A-5'!T13)</f>
        <v>23.6</v>
      </c>
      <c r="D2" s="73">
        <f>B2-C2</f>
        <v>12.4</v>
      </c>
      <c r="E2" s="73">
        <f t="shared" ref="E2:E3" si="1">IF(B2&lt;&gt;0,(D2/B2)*100,"N/A")</f>
        <v>34.44444444</v>
      </c>
      <c r="F2" s="74"/>
      <c r="G2" s="74"/>
      <c r="H2" s="74"/>
      <c r="I2" s="74"/>
      <c r="J2" s="74"/>
      <c r="K2" s="74"/>
      <c r="L2" s="74"/>
      <c r="M2" s="74"/>
      <c r="N2" s="74"/>
      <c r="O2" s="74"/>
      <c r="P2" s="74"/>
      <c r="Q2" s="74"/>
      <c r="R2" s="74"/>
      <c r="S2" s="74"/>
      <c r="T2" s="74"/>
      <c r="U2" s="74"/>
      <c r="V2" s="74"/>
      <c r="W2" s="74"/>
      <c r="X2" s="74"/>
      <c r="Y2" s="74"/>
      <c r="Z2" s="74"/>
    </row>
    <row r="3">
      <c r="A3" s="72" t="s">
        <v>510</v>
      </c>
      <c r="B3" s="73">
        <f>AVERAGE('B-1'!L13,'B-2'!L13,'B-3'!L13,'B-4'!L13,'B-5'!L13)</f>
        <v>36</v>
      </c>
      <c r="C3" s="73">
        <f>AVERAGE('B-1'!T13,'B-2'!T13,'B-3'!T13,'B-4'!T13,'B-5'!T13)</f>
        <v>24</v>
      </c>
      <c r="D3" s="75">
        <f>B3-C2</f>
        <v>12.4</v>
      </c>
      <c r="E3" s="73">
        <f t="shared" si="1"/>
        <v>34.44444444</v>
      </c>
      <c r="F3" s="74"/>
      <c r="G3" s="74"/>
      <c r="H3" s="74"/>
      <c r="I3" s="74"/>
      <c r="J3" s="74"/>
      <c r="K3" s="74"/>
      <c r="L3" s="74"/>
      <c r="M3" s="74"/>
      <c r="N3" s="74"/>
      <c r="O3" s="74"/>
      <c r="P3" s="74"/>
      <c r="Q3" s="74"/>
      <c r="R3" s="74"/>
      <c r="S3" s="74"/>
      <c r="T3" s="74"/>
      <c r="U3" s="74"/>
      <c r="V3" s="74"/>
      <c r="W3" s="74"/>
      <c r="X3" s="74"/>
      <c r="Y3" s="74"/>
      <c r="Z3" s="74"/>
    </row>
    <row r="4">
      <c r="A4" s="74"/>
      <c r="B4" s="73"/>
      <c r="C4" s="73"/>
      <c r="D4" s="73"/>
      <c r="E4" s="73"/>
      <c r="F4" s="74"/>
      <c r="G4" s="74"/>
      <c r="H4" s="74"/>
      <c r="I4" s="74"/>
      <c r="J4" s="74"/>
      <c r="K4" s="74"/>
      <c r="L4" s="74"/>
      <c r="M4" s="74"/>
      <c r="N4" s="74"/>
      <c r="O4" s="74"/>
      <c r="P4" s="74"/>
      <c r="Q4" s="74"/>
      <c r="R4" s="74"/>
      <c r="S4" s="74"/>
      <c r="T4" s="74"/>
      <c r="U4" s="74"/>
      <c r="V4" s="74"/>
      <c r="W4" s="74"/>
      <c r="X4" s="74"/>
      <c r="Y4" s="74"/>
      <c r="Z4" s="74"/>
    </row>
    <row r="5">
      <c r="A5" s="74"/>
      <c r="B5" s="73"/>
      <c r="C5" s="73"/>
      <c r="D5" s="73"/>
      <c r="E5" s="73"/>
      <c r="F5" s="74"/>
      <c r="G5" s="74"/>
      <c r="H5" s="74"/>
      <c r="I5" s="74"/>
      <c r="J5" s="74"/>
      <c r="K5" s="74"/>
      <c r="L5" s="74"/>
      <c r="M5" s="74"/>
      <c r="N5" s="74"/>
      <c r="O5" s="74"/>
      <c r="P5" s="74"/>
      <c r="Q5" s="74"/>
      <c r="R5" s="74"/>
      <c r="S5" s="74"/>
      <c r="T5" s="74"/>
      <c r="U5" s="74"/>
      <c r="V5" s="74"/>
      <c r="W5" s="74"/>
      <c r="X5" s="74"/>
      <c r="Y5" s="74"/>
      <c r="Z5" s="74"/>
    </row>
    <row r="6">
      <c r="A6" s="74"/>
      <c r="B6" s="73"/>
      <c r="C6" s="73"/>
      <c r="D6" s="73"/>
      <c r="E6" s="73"/>
      <c r="F6" s="74"/>
      <c r="G6" s="74"/>
      <c r="H6" s="74"/>
      <c r="I6" s="74"/>
      <c r="J6" s="74"/>
      <c r="K6" s="74"/>
      <c r="L6" s="74"/>
      <c r="M6" s="74"/>
      <c r="N6" s="74"/>
      <c r="O6" s="74"/>
      <c r="P6" s="74"/>
      <c r="Q6" s="74"/>
      <c r="R6" s="74"/>
      <c r="S6" s="74"/>
      <c r="T6" s="74"/>
      <c r="U6" s="74"/>
      <c r="V6" s="74"/>
      <c r="W6" s="74"/>
      <c r="X6" s="74"/>
      <c r="Y6" s="74"/>
      <c r="Z6" s="74"/>
    </row>
    <row r="7">
      <c r="A7" s="74"/>
      <c r="B7" s="73"/>
      <c r="C7" s="73"/>
      <c r="D7" s="73"/>
      <c r="E7" s="73"/>
      <c r="F7" s="74"/>
      <c r="G7" s="74"/>
      <c r="H7" s="74"/>
      <c r="I7" s="74"/>
      <c r="J7" s="74"/>
      <c r="K7" s="74"/>
      <c r="L7" s="74"/>
      <c r="M7" s="74"/>
      <c r="N7" s="74"/>
      <c r="O7" s="74"/>
      <c r="P7" s="74"/>
      <c r="Q7" s="74"/>
      <c r="R7" s="74"/>
      <c r="S7" s="74"/>
      <c r="T7" s="74"/>
      <c r="U7" s="74"/>
      <c r="V7" s="74"/>
      <c r="W7" s="74"/>
      <c r="X7" s="74"/>
      <c r="Y7" s="74"/>
      <c r="Z7" s="74"/>
    </row>
    <row r="8">
      <c r="A8" s="74"/>
      <c r="B8" s="73"/>
      <c r="C8" s="73"/>
      <c r="D8" s="73"/>
      <c r="E8" s="73"/>
      <c r="F8" s="74"/>
      <c r="G8" s="74"/>
      <c r="H8" s="74"/>
      <c r="I8" s="74"/>
      <c r="J8" s="74"/>
      <c r="K8" s="74"/>
      <c r="L8" s="74"/>
      <c r="M8" s="74"/>
      <c r="N8" s="74"/>
      <c r="O8" s="74"/>
      <c r="P8" s="74"/>
      <c r="Q8" s="74"/>
      <c r="R8" s="74"/>
      <c r="S8" s="74"/>
      <c r="T8" s="74"/>
      <c r="U8" s="74"/>
      <c r="V8" s="74"/>
      <c r="W8" s="74"/>
      <c r="X8" s="74"/>
      <c r="Y8" s="74"/>
      <c r="Z8" s="74"/>
    </row>
    <row r="9">
      <c r="A9" s="74"/>
      <c r="B9" s="73"/>
      <c r="C9" s="73"/>
      <c r="D9" s="73"/>
      <c r="E9" s="73"/>
      <c r="F9" s="74"/>
      <c r="G9" s="74"/>
      <c r="H9" s="74"/>
      <c r="I9" s="74"/>
      <c r="J9" s="74"/>
      <c r="K9" s="74"/>
      <c r="L9" s="74"/>
      <c r="M9" s="74"/>
      <c r="N9" s="74"/>
      <c r="O9" s="74"/>
      <c r="P9" s="74"/>
      <c r="Q9" s="74"/>
      <c r="R9" s="74"/>
      <c r="S9" s="74"/>
      <c r="T9" s="74"/>
      <c r="U9" s="74"/>
      <c r="V9" s="74"/>
      <c r="W9" s="74"/>
      <c r="X9" s="74"/>
      <c r="Y9" s="74"/>
      <c r="Z9" s="74"/>
    </row>
    <row r="10">
      <c r="A10" s="74"/>
      <c r="B10" s="73"/>
      <c r="C10" s="73"/>
      <c r="D10" s="73"/>
      <c r="E10" s="73"/>
      <c r="F10" s="74"/>
      <c r="G10" s="74"/>
      <c r="H10" s="74"/>
      <c r="I10" s="74"/>
      <c r="J10" s="74"/>
      <c r="K10" s="74"/>
      <c r="L10" s="74"/>
      <c r="M10" s="74"/>
      <c r="N10" s="74"/>
      <c r="O10" s="74"/>
      <c r="P10" s="74"/>
      <c r="Q10" s="74"/>
      <c r="R10" s="74"/>
      <c r="S10" s="74"/>
      <c r="T10" s="74"/>
      <c r="U10" s="74"/>
      <c r="V10" s="74"/>
      <c r="W10" s="74"/>
      <c r="X10" s="74"/>
      <c r="Y10" s="74"/>
      <c r="Z10" s="74"/>
    </row>
    <row r="11">
      <c r="A11" s="74"/>
      <c r="B11" s="73"/>
      <c r="C11" s="73"/>
      <c r="D11" s="73"/>
      <c r="E11" s="73"/>
      <c r="F11" s="74"/>
      <c r="G11" s="74"/>
      <c r="H11" s="74"/>
      <c r="I11" s="74"/>
      <c r="J11" s="74"/>
      <c r="K11" s="74"/>
      <c r="L11" s="74"/>
      <c r="M11" s="74"/>
      <c r="N11" s="74"/>
      <c r="O11" s="74"/>
      <c r="P11" s="74"/>
      <c r="Q11" s="74"/>
      <c r="R11" s="74"/>
      <c r="S11" s="74"/>
      <c r="T11" s="74"/>
      <c r="U11" s="74"/>
      <c r="V11" s="74"/>
      <c r="W11" s="74"/>
      <c r="X11" s="74"/>
      <c r="Y11" s="74"/>
      <c r="Z11" s="74"/>
    </row>
    <row r="12">
      <c r="A12" s="74"/>
      <c r="B12" s="73"/>
      <c r="C12" s="73"/>
      <c r="D12" s="73"/>
      <c r="E12" s="73"/>
      <c r="F12" s="74"/>
      <c r="G12" s="74"/>
      <c r="H12" s="74"/>
      <c r="I12" s="74"/>
      <c r="J12" s="74"/>
      <c r="K12" s="74"/>
      <c r="L12" s="74"/>
      <c r="M12" s="74"/>
      <c r="N12" s="74"/>
      <c r="O12" s="74"/>
      <c r="P12" s="74"/>
      <c r="Q12" s="74"/>
      <c r="R12" s="74"/>
      <c r="S12" s="74"/>
      <c r="T12" s="74"/>
      <c r="U12" s="74"/>
      <c r="V12" s="74"/>
      <c r="W12" s="74"/>
      <c r="X12" s="74"/>
      <c r="Y12" s="74"/>
      <c r="Z12" s="74"/>
    </row>
    <row r="13">
      <c r="A13" s="74"/>
      <c r="B13" s="73"/>
      <c r="C13" s="73"/>
      <c r="D13" s="73"/>
      <c r="E13" s="73"/>
      <c r="F13" s="74"/>
      <c r="G13" s="74"/>
      <c r="H13" s="74"/>
      <c r="I13" s="74"/>
      <c r="J13" s="74"/>
      <c r="K13" s="74"/>
      <c r="L13" s="74"/>
      <c r="M13" s="74"/>
      <c r="N13" s="74"/>
      <c r="O13" s="74"/>
      <c r="P13" s="74"/>
      <c r="Q13" s="74"/>
      <c r="R13" s="74"/>
      <c r="S13" s="74"/>
      <c r="T13" s="74"/>
      <c r="U13" s="74"/>
      <c r="V13" s="74"/>
      <c r="W13" s="74"/>
      <c r="X13" s="74"/>
      <c r="Y13" s="74"/>
      <c r="Z13" s="74"/>
    </row>
    <row r="14">
      <c r="A14" s="74"/>
      <c r="B14" s="73"/>
      <c r="C14" s="73"/>
      <c r="D14" s="73"/>
      <c r="E14" s="73"/>
      <c r="F14" s="74"/>
      <c r="G14" s="74"/>
      <c r="H14" s="74"/>
      <c r="I14" s="74"/>
      <c r="J14" s="74"/>
      <c r="K14" s="74"/>
      <c r="L14" s="74"/>
      <c r="M14" s="74"/>
      <c r="N14" s="74"/>
      <c r="O14" s="74"/>
      <c r="P14" s="74"/>
      <c r="Q14" s="74"/>
      <c r="R14" s="74"/>
      <c r="S14" s="74"/>
      <c r="T14" s="74"/>
      <c r="U14" s="74"/>
      <c r="V14" s="74"/>
      <c r="W14" s="74"/>
      <c r="X14" s="74"/>
      <c r="Y14" s="74"/>
      <c r="Z14" s="74"/>
    </row>
    <row r="15">
      <c r="A15" s="74"/>
      <c r="B15" s="73"/>
      <c r="C15" s="73"/>
      <c r="D15" s="73"/>
      <c r="E15" s="73"/>
      <c r="F15" s="74"/>
      <c r="G15" s="74"/>
      <c r="H15" s="74"/>
      <c r="I15" s="74"/>
      <c r="J15" s="74"/>
      <c r="K15" s="74"/>
      <c r="L15" s="74"/>
      <c r="M15" s="74"/>
      <c r="N15" s="74"/>
      <c r="O15" s="74"/>
      <c r="P15" s="74"/>
      <c r="Q15" s="74"/>
      <c r="R15" s="74"/>
      <c r="S15" s="74"/>
      <c r="T15" s="74"/>
      <c r="U15" s="74"/>
      <c r="V15" s="74"/>
      <c r="W15" s="74"/>
      <c r="X15" s="74"/>
      <c r="Y15" s="74"/>
      <c r="Z15" s="74"/>
    </row>
    <row r="16">
      <c r="A16" s="74"/>
      <c r="B16" s="73"/>
      <c r="C16" s="73"/>
      <c r="D16" s="73"/>
      <c r="E16" s="73"/>
      <c r="F16" s="74"/>
      <c r="G16" s="74"/>
      <c r="H16" s="74"/>
      <c r="I16" s="74"/>
      <c r="J16" s="74"/>
      <c r="K16" s="74"/>
      <c r="L16" s="74"/>
      <c r="M16" s="74"/>
      <c r="N16" s="74"/>
      <c r="O16" s="74"/>
      <c r="P16" s="74"/>
      <c r="Q16" s="74"/>
      <c r="R16" s="74"/>
      <c r="S16" s="74"/>
      <c r="T16" s="74"/>
      <c r="U16" s="74"/>
      <c r="V16" s="74"/>
      <c r="W16" s="74"/>
      <c r="X16" s="74"/>
      <c r="Y16" s="74"/>
      <c r="Z16" s="74"/>
    </row>
    <row r="17">
      <c r="A17" s="74"/>
      <c r="B17" s="73"/>
      <c r="C17" s="73"/>
      <c r="D17" s="73"/>
      <c r="E17" s="73"/>
      <c r="F17" s="74"/>
      <c r="G17" s="74"/>
      <c r="H17" s="74"/>
      <c r="I17" s="74"/>
      <c r="J17" s="74"/>
      <c r="K17" s="74"/>
      <c r="L17" s="74"/>
      <c r="M17" s="74"/>
      <c r="N17" s="74"/>
      <c r="O17" s="74"/>
      <c r="P17" s="74"/>
      <c r="Q17" s="74"/>
      <c r="R17" s="74"/>
      <c r="S17" s="74"/>
      <c r="T17" s="74"/>
      <c r="U17" s="74"/>
      <c r="V17" s="74"/>
      <c r="W17" s="74"/>
      <c r="X17" s="74"/>
      <c r="Y17" s="74"/>
      <c r="Z17" s="74"/>
    </row>
    <row r="18">
      <c r="A18" s="74"/>
      <c r="B18" s="73"/>
      <c r="C18" s="73"/>
      <c r="D18" s="73"/>
      <c r="E18" s="73"/>
      <c r="F18" s="74"/>
      <c r="G18" s="74"/>
      <c r="H18" s="74"/>
      <c r="I18" s="74"/>
      <c r="J18" s="74"/>
      <c r="K18" s="74"/>
      <c r="L18" s="74"/>
      <c r="M18" s="74"/>
      <c r="N18" s="74"/>
      <c r="O18" s="74"/>
      <c r="P18" s="74"/>
      <c r="Q18" s="74"/>
      <c r="R18" s="74"/>
      <c r="S18" s="74"/>
      <c r="T18" s="74"/>
      <c r="U18" s="74"/>
      <c r="V18" s="74"/>
      <c r="W18" s="74"/>
      <c r="X18" s="74"/>
      <c r="Y18" s="74"/>
      <c r="Z18" s="74"/>
    </row>
    <row r="19">
      <c r="A19" s="74"/>
      <c r="B19" s="73"/>
      <c r="C19" s="73"/>
      <c r="D19" s="73"/>
      <c r="E19" s="73"/>
      <c r="F19" s="74"/>
      <c r="G19" s="74"/>
      <c r="H19" s="74"/>
      <c r="I19" s="74"/>
      <c r="J19" s="74"/>
      <c r="K19" s="74"/>
      <c r="L19" s="74"/>
      <c r="M19" s="74"/>
      <c r="N19" s="74"/>
      <c r="O19" s="74"/>
      <c r="P19" s="74"/>
      <c r="Q19" s="74"/>
      <c r="R19" s="74"/>
      <c r="S19" s="74"/>
      <c r="T19" s="74"/>
      <c r="U19" s="74"/>
      <c r="V19" s="74"/>
      <c r="W19" s="74"/>
      <c r="X19" s="74"/>
      <c r="Y19" s="74"/>
      <c r="Z19" s="74"/>
    </row>
    <row r="20">
      <c r="A20" s="74"/>
      <c r="B20" s="73"/>
      <c r="C20" s="73"/>
      <c r="D20" s="73"/>
      <c r="E20" s="73"/>
      <c r="F20" s="74"/>
      <c r="G20" s="74"/>
      <c r="H20" s="74"/>
      <c r="I20" s="74"/>
      <c r="J20" s="74"/>
      <c r="K20" s="74"/>
      <c r="L20" s="74"/>
      <c r="M20" s="74"/>
      <c r="N20" s="74"/>
      <c r="O20" s="74"/>
      <c r="P20" s="74"/>
      <c r="Q20" s="74"/>
      <c r="R20" s="74"/>
      <c r="S20" s="74"/>
      <c r="T20" s="74"/>
      <c r="U20" s="74"/>
      <c r="V20" s="74"/>
      <c r="W20" s="74"/>
      <c r="X20" s="74"/>
      <c r="Y20" s="74"/>
      <c r="Z20" s="74"/>
    </row>
    <row r="21">
      <c r="A21" s="74"/>
      <c r="B21" s="73"/>
      <c r="C21" s="73"/>
      <c r="D21" s="73"/>
      <c r="E21" s="73"/>
      <c r="F21" s="74"/>
      <c r="G21" s="74"/>
      <c r="H21" s="74"/>
      <c r="I21" s="74"/>
      <c r="J21" s="74"/>
      <c r="K21" s="74"/>
      <c r="L21" s="74"/>
      <c r="M21" s="74"/>
      <c r="N21" s="74"/>
      <c r="O21" s="74"/>
      <c r="P21" s="74"/>
      <c r="Q21" s="74"/>
      <c r="R21" s="74"/>
      <c r="S21" s="74"/>
      <c r="T21" s="74"/>
      <c r="U21" s="74"/>
      <c r="V21" s="74"/>
      <c r="W21" s="74"/>
      <c r="X21" s="74"/>
      <c r="Y21" s="74"/>
      <c r="Z21" s="74"/>
    </row>
    <row r="22">
      <c r="A22" s="74"/>
      <c r="B22" s="73"/>
      <c r="C22" s="73"/>
      <c r="D22" s="73"/>
      <c r="E22" s="73"/>
      <c r="F22" s="74"/>
      <c r="G22" s="74"/>
      <c r="H22" s="74"/>
      <c r="I22" s="74"/>
      <c r="J22" s="74"/>
      <c r="K22" s="74"/>
      <c r="L22" s="74"/>
      <c r="M22" s="74"/>
      <c r="N22" s="74"/>
      <c r="O22" s="74"/>
      <c r="P22" s="74"/>
      <c r="Q22" s="74"/>
      <c r="R22" s="74"/>
      <c r="S22" s="74"/>
      <c r="T22" s="74"/>
      <c r="U22" s="74"/>
      <c r="V22" s="74"/>
      <c r="W22" s="74"/>
      <c r="X22" s="74"/>
      <c r="Y22" s="74"/>
      <c r="Z22" s="74"/>
    </row>
    <row r="23">
      <c r="A23" s="74"/>
      <c r="B23" s="73"/>
      <c r="C23" s="73"/>
      <c r="D23" s="73"/>
      <c r="E23" s="73"/>
      <c r="F23" s="74"/>
      <c r="G23" s="74"/>
      <c r="H23" s="74"/>
      <c r="I23" s="74"/>
      <c r="J23" s="74"/>
      <c r="K23" s="74"/>
      <c r="L23" s="74"/>
      <c r="M23" s="74"/>
      <c r="N23" s="74"/>
      <c r="O23" s="74"/>
      <c r="P23" s="74"/>
      <c r="Q23" s="74"/>
      <c r="R23" s="74"/>
      <c r="S23" s="74"/>
      <c r="T23" s="74"/>
      <c r="U23" s="74"/>
      <c r="V23" s="74"/>
      <c r="W23" s="74"/>
      <c r="X23" s="74"/>
      <c r="Y23" s="74"/>
      <c r="Z23" s="74"/>
    </row>
    <row r="24">
      <c r="A24" s="74"/>
      <c r="B24" s="73"/>
      <c r="C24" s="73"/>
      <c r="D24" s="73"/>
      <c r="E24" s="73"/>
      <c r="F24" s="74"/>
      <c r="G24" s="74"/>
      <c r="H24" s="74"/>
      <c r="I24" s="74"/>
      <c r="J24" s="74"/>
      <c r="K24" s="74"/>
      <c r="L24" s="74"/>
      <c r="M24" s="74"/>
      <c r="N24" s="74"/>
      <c r="O24" s="74"/>
      <c r="P24" s="74"/>
      <c r="Q24" s="74"/>
      <c r="R24" s="74"/>
      <c r="S24" s="74"/>
      <c r="T24" s="74"/>
      <c r="U24" s="74"/>
      <c r="V24" s="74"/>
      <c r="W24" s="74"/>
      <c r="X24" s="74"/>
      <c r="Y24" s="74"/>
      <c r="Z24" s="74"/>
    </row>
    <row r="25">
      <c r="A25" s="74"/>
      <c r="B25" s="73"/>
      <c r="C25" s="73"/>
      <c r="D25" s="73"/>
      <c r="E25" s="73"/>
      <c r="F25" s="74"/>
      <c r="G25" s="74"/>
      <c r="H25" s="74"/>
      <c r="I25" s="74"/>
      <c r="J25" s="74"/>
      <c r="K25" s="74"/>
      <c r="L25" s="74"/>
      <c r="M25" s="74"/>
      <c r="N25" s="74"/>
      <c r="O25" s="74"/>
      <c r="P25" s="74"/>
      <c r="Q25" s="74"/>
      <c r="R25" s="74"/>
      <c r="S25" s="74"/>
      <c r="T25" s="74"/>
      <c r="U25" s="74"/>
      <c r="V25" s="74"/>
      <c r="W25" s="74"/>
      <c r="X25" s="74"/>
      <c r="Y25" s="74"/>
      <c r="Z25" s="74"/>
    </row>
    <row r="26">
      <c r="A26" s="74"/>
      <c r="B26" s="73"/>
      <c r="C26" s="73"/>
      <c r="D26" s="73"/>
      <c r="E26" s="73"/>
      <c r="F26" s="74"/>
      <c r="G26" s="74"/>
      <c r="H26" s="74"/>
      <c r="I26" s="74"/>
      <c r="J26" s="74"/>
      <c r="K26" s="74"/>
      <c r="L26" s="74"/>
      <c r="M26" s="74"/>
      <c r="N26" s="74"/>
      <c r="O26" s="74"/>
      <c r="P26" s="74"/>
      <c r="Q26" s="74"/>
      <c r="R26" s="74"/>
      <c r="S26" s="74"/>
      <c r="T26" s="74"/>
      <c r="U26" s="74"/>
      <c r="V26" s="74"/>
      <c r="W26" s="74"/>
      <c r="X26" s="74"/>
      <c r="Y26" s="74"/>
      <c r="Z26" s="74"/>
    </row>
    <row r="27">
      <c r="A27" s="74"/>
      <c r="B27" s="73"/>
      <c r="C27" s="73"/>
      <c r="D27" s="73"/>
      <c r="E27" s="73"/>
      <c r="F27" s="74"/>
      <c r="G27" s="74"/>
      <c r="H27" s="74"/>
      <c r="I27" s="74"/>
      <c r="J27" s="74"/>
      <c r="K27" s="74"/>
      <c r="L27" s="74"/>
      <c r="M27" s="74"/>
      <c r="N27" s="74"/>
      <c r="O27" s="74"/>
      <c r="P27" s="74"/>
      <c r="Q27" s="74"/>
      <c r="R27" s="74"/>
      <c r="S27" s="74"/>
      <c r="T27" s="74"/>
      <c r="U27" s="74"/>
      <c r="V27" s="74"/>
      <c r="W27" s="74"/>
      <c r="X27" s="74"/>
      <c r="Y27" s="74"/>
      <c r="Z27" s="74"/>
    </row>
    <row r="28">
      <c r="A28" s="74"/>
      <c r="B28" s="73"/>
      <c r="C28" s="73"/>
      <c r="D28" s="73"/>
      <c r="E28" s="73"/>
      <c r="F28" s="74"/>
      <c r="G28" s="74"/>
      <c r="H28" s="74"/>
      <c r="I28" s="74"/>
      <c r="J28" s="74"/>
      <c r="K28" s="74"/>
      <c r="L28" s="74"/>
      <c r="M28" s="74"/>
      <c r="N28" s="74"/>
      <c r="O28" s="74"/>
      <c r="P28" s="74"/>
      <c r="Q28" s="74"/>
      <c r="R28" s="74"/>
      <c r="S28" s="74"/>
      <c r="T28" s="74"/>
      <c r="U28" s="74"/>
      <c r="V28" s="74"/>
      <c r="W28" s="74"/>
      <c r="X28" s="74"/>
      <c r="Y28" s="74"/>
      <c r="Z28" s="74"/>
    </row>
    <row r="29">
      <c r="A29" s="74"/>
      <c r="B29" s="73"/>
      <c r="C29" s="73"/>
      <c r="D29" s="73"/>
      <c r="E29" s="73"/>
      <c r="F29" s="74"/>
      <c r="G29" s="74"/>
      <c r="H29" s="74"/>
      <c r="I29" s="74"/>
      <c r="J29" s="74"/>
      <c r="K29" s="74"/>
      <c r="L29" s="74"/>
      <c r="M29" s="74"/>
      <c r="N29" s="74"/>
      <c r="O29" s="74"/>
      <c r="P29" s="74"/>
      <c r="Q29" s="74"/>
      <c r="R29" s="74"/>
      <c r="S29" s="74"/>
      <c r="T29" s="74"/>
      <c r="U29" s="74"/>
      <c r="V29" s="74"/>
      <c r="W29" s="74"/>
      <c r="X29" s="74"/>
      <c r="Y29" s="74"/>
      <c r="Z29" s="74"/>
    </row>
    <row r="30">
      <c r="A30" s="74"/>
      <c r="B30" s="73"/>
      <c r="C30" s="73"/>
      <c r="D30" s="73"/>
      <c r="E30" s="73"/>
      <c r="F30" s="74"/>
      <c r="G30" s="74"/>
      <c r="H30" s="74"/>
      <c r="I30" s="74"/>
      <c r="J30" s="74"/>
      <c r="K30" s="74"/>
      <c r="L30" s="74"/>
      <c r="M30" s="74"/>
      <c r="N30" s="74"/>
      <c r="O30" s="74"/>
      <c r="P30" s="74"/>
      <c r="Q30" s="74"/>
      <c r="R30" s="74"/>
      <c r="S30" s="74"/>
      <c r="T30" s="74"/>
      <c r="U30" s="74"/>
      <c r="V30" s="74"/>
      <c r="W30" s="74"/>
      <c r="X30" s="74"/>
      <c r="Y30" s="74"/>
      <c r="Z30" s="74"/>
    </row>
    <row r="31">
      <c r="A31" s="74"/>
      <c r="B31" s="73"/>
      <c r="C31" s="73"/>
      <c r="D31" s="73"/>
      <c r="E31" s="73"/>
      <c r="F31" s="74"/>
      <c r="G31" s="74"/>
      <c r="H31" s="74"/>
      <c r="I31" s="74"/>
      <c r="J31" s="74"/>
      <c r="K31" s="74"/>
      <c r="L31" s="74"/>
      <c r="M31" s="74"/>
      <c r="N31" s="74"/>
      <c r="O31" s="74"/>
      <c r="P31" s="74"/>
      <c r="Q31" s="74"/>
      <c r="R31" s="74"/>
      <c r="S31" s="74"/>
      <c r="T31" s="74"/>
      <c r="U31" s="74"/>
      <c r="V31" s="74"/>
      <c r="W31" s="74"/>
      <c r="X31" s="74"/>
      <c r="Y31" s="74"/>
      <c r="Z31" s="74"/>
    </row>
    <row r="32">
      <c r="A32" s="74"/>
      <c r="B32" s="73"/>
      <c r="C32" s="73"/>
      <c r="D32" s="73"/>
      <c r="E32" s="73"/>
      <c r="F32" s="74"/>
      <c r="G32" s="74"/>
      <c r="H32" s="74"/>
      <c r="I32" s="74"/>
      <c r="J32" s="74"/>
      <c r="K32" s="74"/>
      <c r="L32" s="74"/>
      <c r="M32" s="74"/>
      <c r="N32" s="74"/>
      <c r="O32" s="74"/>
      <c r="P32" s="74"/>
      <c r="Q32" s="74"/>
      <c r="R32" s="74"/>
      <c r="S32" s="74"/>
      <c r="T32" s="74"/>
      <c r="U32" s="74"/>
      <c r="V32" s="74"/>
      <c r="W32" s="74"/>
      <c r="X32" s="74"/>
      <c r="Y32" s="74"/>
      <c r="Z32" s="74"/>
    </row>
    <row r="33">
      <c r="A33" s="74"/>
      <c r="B33" s="73"/>
      <c r="C33" s="73"/>
      <c r="D33" s="73"/>
      <c r="E33" s="73"/>
      <c r="F33" s="74"/>
      <c r="G33" s="74"/>
      <c r="H33" s="74"/>
      <c r="I33" s="74"/>
      <c r="J33" s="74"/>
      <c r="K33" s="74"/>
      <c r="L33" s="74"/>
      <c r="M33" s="74"/>
      <c r="N33" s="74"/>
      <c r="O33" s="74"/>
      <c r="P33" s="74"/>
      <c r="Q33" s="74"/>
      <c r="R33" s="74"/>
      <c r="S33" s="74"/>
      <c r="T33" s="74"/>
      <c r="U33" s="74"/>
      <c r="V33" s="74"/>
      <c r="W33" s="74"/>
      <c r="X33" s="74"/>
      <c r="Y33" s="74"/>
      <c r="Z33" s="74"/>
    </row>
    <row r="34">
      <c r="A34" s="74"/>
      <c r="B34" s="73"/>
      <c r="C34" s="73"/>
      <c r="D34" s="73"/>
      <c r="E34" s="73"/>
      <c r="F34" s="74"/>
      <c r="G34" s="74"/>
      <c r="H34" s="74"/>
      <c r="I34" s="74"/>
      <c r="J34" s="74"/>
      <c r="K34" s="74"/>
      <c r="L34" s="74"/>
      <c r="M34" s="74"/>
      <c r="N34" s="74"/>
      <c r="O34" s="74"/>
      <c r="P34" s="74"/>
      <c r="Q34" s="74"/>
      <c r="R34" s="74"/>
      <c r="S34" s="74"/>
      <c r="T34" s="74"/>
      <c r="U34" s="74"/>
      <c r="V34" s="74"/>
      <c r="W34" s="74"/>
      <c r="X34" s="74"/>
      <c r="Y34" s="74"/>
      <c r="Z34" s="74"/>
    </row>
    <row r="35">
      <c r="A35" s="74"/>
      <c r="B35" s="73"/>
      <c r="C35" s="73"/>
      <c r="D35" s="73"/>
      <c r="E35" s="73"/>
      <c r="F35" s="74"/>
      <c r="G35" s="74"/>
      <c r="H35" s="74"/>
      <c r="I35" s="74"/>
      <c r="J35" s="74"/>
      <c r="K35" s="74"/>
      <c r="L35" s="74"/>
      <c r="M35" s="74"/>
      <c r="N35" s="74"/>
      <c r="O35" s="74"/>
      <c r="P35" s="74"/>
      <c r="Q35" s="74"/>
      <c r="R35" s="74"/>
      <c r="S35" s="74"/>
      <c r="T35" s="74"/>
      <c r="U35" s="74"/>
      <c r="V35" s="74"/>
      <c r="W35" s="74"/>
      <c r="X35" s="74"/>
      <c r="Y35" s="74"/>
      <c r="Z35" s="74"/>
    </row>
    <row r="36">
      <c r="A36" s="74"/>
      <c r="B36" s="73"/>
      <c r="C36" s="73"/>
      <c r="D36" s="73"/>
      <c r="E36" s="73"/>
      <c r="F36" s="74"/>
      <c r="G36" s="74"/>
      <c r="H36" s="74"/>
      <c r="I36" s="74"/>
      <c r="J36" s="74"/>
      <c r="K36" s="74"/>
      <c r="L36" s="74"/>
      <c r="M36" s="74"/>
      <c r="N36" s="74"/>
      <c r="O36" s="74"/>
      <c r="P36" s="74"/>
      <c r="Q36" s="74"/>
      <c r="R36" s="74"/>
      <c r="S36" s="74"/>
      <c r="T36" s="74"/>
      <c r="U36" s="74"/>
      <c r="V36" s="74"/>
      <c r="W36" s="74"/>
      <c r="X36" s="74"/>
      <c r="Y36" s="74"/>
      <c r="Z36" s="74"/>
    </row>
    <row r="37">
      <c r="A37" s="74"/>
      <c r="B37" s="73"/>
      <c r="C37" s="73"/>
      <c r="D37" s="73"/>
      <c r="E37" s="73"/>
      <c r="F37" s="74"/>
      <c r="G37" s="74"/>
      <c r="H37" s="74"/>
      <c r="I37" s="74"/>
      <c r="J37" s="74"/>
      <c r="K37" s="74"/>
      <c r="L37" s="74"/>
      <c r="M37" s="74"/>
      <c r="N37" s="74"/>
      <c r="O37" s="74"/>
      <c r="P37" s="74"/>
      <c r="Q37" s="74"/>
      <c r="R37" s="74"/>
      <c r="S37" s="74"/>
      <c r="T37" s="74"/>
      <c r="U37" s="74"/>
      <c r="V37" s="74"/>
      <c r="W37" s="74"/>
      <c r="X37" s="74"/>
      <c r="Y37" s="74"/>
      <c r="Z37" s="74"/>
    </row>
    <row r="38">
      <c r="A38" s="74"/>
      <c r="B38" s="73"/>
      <c r="C38" s="73"/>
      <c r="D38" s="73"/>
      <c r="E38" s="73"/>
      <c r="F38" s="74"/>
      <c r="G38" s="74"/>
      <c r="H38" s="74"/>
      <c r="I38" s="74"/>
      <c r="J38" s="74"/>
      <c r="K38" s="74"/>
      <c r="L38" s="74"/>
      <c r="M38" s="74"/>
      <c r="N38" s="74"/>
      <c r="O38" s="74"/>
      <c r="P38" s="74"/>
      <c r="Q38" s="74"/>
      <c r="R38" s="74"/>
      <c r="S38" s="74"/>
      <c r="T38" s="74"/>
      <c r="U38" s="74"/>
      <c r="V38" s="74"/>
      <c r="W38" s="74"/>
      <c r="X38" s="74"/>
      <c r="Y38" s="74"/>
      <c r="Z38" s="74"/>
    </row>
    <row r="39">
      <c r="A39" s="74"/>
      <c r="B39" s="73"/>
      <c r="C39" s="73"/>
      <c r="D39" s="73"/>
      <c r="E39" s="73"/>
      <c r="F39" s="74"/>
      <c r="G39" s="74"/>
      <c r="H39" s="74"/>
      <c r="I39" s="74"/>
      <c r="J39" s="74"/>
      <c r="K39" s="74"/>
      <c r="L39" s="74"/>
      <c r="M39" s="74"/>
      <c r="N39" s="74"/>
      <c r="O39" s="74"/>
      <c r="P39" s="74"/>
      <c r="Q39" s="74"/>
      <c r="R39" s="74"/>
      <c r="S39" s="74"/>
      <c r="T39" s="74"/>
      <c r="U39" s="74"/>
      <c r="V39" s="74"/>
      <c r="W39" s="74"/>
      <c r="X39" s="74"/>
      <c r="Y39" s="74"/>
      <c r="Z39" s="74"/>
    </row>
    <row r="40">
      <c r="A40" s="74"/>
      <c r="B40" s="73"/>
      <c r="C40" s="73"/>
      <c r="D40" s="73"/>
      <c r="E40" s="73"/>
      <c r="F40" s="74"/>
      <c r="G40" s="74"/>
      <c r="H40" s="74"/>
      <c r="I40" s="74"/>
      <c r="J40" s="74"/>
      <c r="K40" s="74"/>
      <c r="L40" s="74"/>
      <c r="M40" s="74"/>
      <c r="N40" s="74"/>
      <c r="O40" s="74"/>
      <c r="P40" s="74"/>
      <c r="Q40" s="74"/>
      <c r="R40" s="74"/>
      <c r="S40" s="74"/>
      <c r="T40" s="74"/>
      <c r="U40" s="74"/>
      <c r="V40" s="74"/>
      <c r="W40" s="74"/>
      <c r="X40" s="74"/>
      <c r="Y40" s="74"/>
      <c r="Z40" s="74"/>
    </row>
    <row r="41">
      <c r="A41" s="74"/>
      <c r="B41" s="73"/>
      <c r="C41" s="73"/>
      <c r="D41" s="73"/>
      <c r="E41" s="73"/>
      <c r="F41" s="74"/>
      <c r="G41" s="74"/>
      <c r="H41" s="74"/>
      <c r="I41" s="74"/>
      <c r="J41" s="74"/>
      <c r="K41" s="74"/>
      <c r="L41" s="74"/>
      <c r="M41" s="74"/>
      <c r="N41" s="74"/>
      <c r="O41" s="74"/>
      <c r="P41" s="74"/>
      <c r="Q41" s="74"/>
      <c r="R41" s="74"/>
      <c r="S41" s="74"/>
      <c r="T41" s="74"/>
      <c r="U41" s="74"/>
      <c r="V41" s="74"/>
      <c r="W41" s="74"/>
      <c r="X41" s="74"/>
      <c r="Y41" s="74"/>
      <c r="Z41" s="74"/>
    </row>
    <row r="42">
      <c r="A42" s="74"/>
      <c r="B42" s="73"/>
      <c r="C42" s="73"/>
      <c r="D42" s="73"/>
      <c r="E42" s="73"/>
      <c r="F42" s="74"/>
      <c r="G42" s="74"/>
      <c r="H42" s="74"/>
      <c r="I42" s="74"/>
      <c r="J42" s="74"/>
      <c r="K42" s="74"/>
      <c r="L42" s="74"/>
      <c r="M42" s="74"/>
      <c r="N42" s="74"/>
      <c r="O42" s="74"/>
      <c r="P42" s="74"/>
      <c r="Q42" s="74"/>
      <c r="R42" s="74"/>
      <c r="S42" s="74"/>
      <c r="T42" s="74"/>
      <c r="U42" s="74"/>
      <c r="V42" s="74"/>
      <c r="W42" s="74"/>
      <c r="X42" s="74"/>
      <c r="Y42" s="74"/>
      <c r="Z42" s="74"/>
    </row>
    <row r="43">
      <c r="A43" s="74"/>
      <c r="B43" s="73"/>
      <c r="C43" s="73"/>
      <c r="D43" s="73"/>
      <c r="E43" s="73"/>
      <c r="F43" s="74"/>
      <c r="G43" s="74"/>
      <c r="H43" s="74"/>
      <c r="I43" s="74"/>
      <c r="J43" s="74"/>
      <c r="K43" s="74"/>
      <c r="L43" s="74"/>
      <c r="M43" s="74"/>
      <c r="N43" s="74"/>
      <c r="O43" s="74"/>
      <c r="P43" s="74"/>
      <c r="Q43" s="74"/>
      <c r="R43" s="74"/>
      <c r="S43" s="74"/>
      <c r="T43" s="74"/>
      <c r="U43" s="74"/>
      <c r="V43" s="74"/>
      <c r="W43" s="74"/>
      <c r="X43" s="74"/>
      <c r="Y43" s="74"/>
      <c r="Z43" s="74"/>
    </row>
    <row r="44">
      <c r="A44" s="74"/>
      <c r="B44" s="73"/>
      <c r="C44" s="73"/>
      <c r="D44" s="73"/>
      <c r="E44" s="73"/>
      <c r="F44" s="74"/>
      <c r="G44" s="74"/>
      <c r="H44" s="74"/>
      <c r="I44" s="74"/>
      <c r="J44" s="74"/>
      <c r="K44" s="74"/>
      <c r="L44" s="74"/>
      <c r="M44" s="74"/>
      <c r="N44" s="74"/>
      <c r="O44" s="74"/>
      <c r="P44" s="74"/>
      <c r="Q44" s="74"/>
      <c r="R44" s="74"/>
      <c r="S44" s="74"/>
      <c r="T44" s="74"/>
      <c r="U44" s="74"/>
      <c r="V44" s="74"/>
      <c r="W44" s="74"/>
      <c r="X44" s="74"/>
      <c r="Y44" s="74"/>
      <c r="Z44" s="74"/>
    </row>
    <row r="45">
      <c r="A45" s="74"/>
      <c r="B45" s="73"/>
      <c r="C45" s="73"/>
      <c r="D45" s="73"/>
      <c r="E45" s="73"/>
      <c r="F45" s="74"/>
      <c r="G45" s="74"/>
      <c r="H45" s="74"/>
      <c r="I45" s="74"/>
      <c r="J45" s="74"/>
      <c r="K45" s="74"/>
      <c r="L45" s="74"/>
      <c r="M45" s="74"/>
      <c r="N45" s="74"/>
      <c r="O45" s="74"/>
      <c r="P45" s="74"/>
      <c r="Q45" s="74"/>
      <c r="R45" s="74"/>
      <c r="S45" s="74"/>
      <c r="T45" s="74"/>
      <c r="U45" s="74"/>
      <c r="V45" s="74"/>
      <c r="W45" s="74"/>
      <c r="X45" s="74"/>
      <c r="Y45" s="74"/>
      <c r="Z45" s="74"/>
    </row>
    <row r="46">
      <c r="A46" s="74"/>
      <c r="B46" s="73"/>
      <c r="C46" s="73"/>
      <c r="D46" s="73"/>
      <c r="E46" s="73"/>
      <c r="F46" s="74"/>
      <c r="G46" s="74"/>
      <c r="H46" s="74"/>
      <c r="I46" s="74"/>
      <c r="J46" s="74"/>
      <c r="K46" s="74"/>
      <c r="L46" s="74"/>
      <c r="M46" s="74"/>
      <c r="N46" s="74"/>
      <c r="O46" s="74"/>
      <c r="P46" s="74"/>
      <c r="Q46" s="74"/>
      <c r="R46" s="74"/>
      <c r="S46" s="74"/>
      <c r="T46" s="74"/>
      <c r="U46" s="74"/>
      <c r="V46" s="74"/>
      <c r="W46" s="74"/>
      <c r="X46" s="74"/>
      <c r="Y46" s="74"/>
      <c r="Z46" s="74"/>
    </row>
    <row r="47">
      <c r="A47" s="74"/>
      <c r="B47" s="73"/>
      <c r="C47" s="73"/>
      <c r="D47" s="73"/>
      <c r="E47" s="73"/>
      <c r="F47" s="74"/>
      <c r="G47" s="74"/>
      <c r="H47" s="74"/>
      <c r="I47" s="74"/>
      <c r="J47" s="74"/>
      <c r="K47" s="74"/>
      <c r="L47" s="74"/>
      <c r="M47" s="74"/>
      <c r="N47" s="74"/>
      <c r="O47" s="74"/>
      <c r="P47" s="74"/>
      <c r="Q47" s="74"/>
      <c r="R47" s="74"/>
      <c r="S47" s="74"/>
      <c r="T47" s="74"/>
      <c r="U47" s="74"/>
      <c r="V47" s="74"/>
      <c r="W47" s="74"/>
      <c r="X47" s="74"/>
      <c r="Y47" s="74"/>
      <c r="Z47" s="74"/>
    </row>
    <row r="48">
      <c r="A48" s="74"/>
      <c r="B48" s="73"/>
      <c r="C48" s="73"/>
      <c r="D48" s="73"/>
      <c r="E48" s="73"/>
      <c r="F48" s="74"/>
      <c r="G48" s="74"/>
      <c r="H48" s="74"/>
      <c r="I48" s="74"/>
      <c r="J48" s="74"/>
      <c r="K48" s="74"/>
      <c r="L48" s="74"/>
      <c r="M48" s="74"/>
      <c r="N48" s="74"/>
      <c r="O48" s="74"/>
      <c r="P48" s="74"/>
      <c r="Q48" s="74"/>
      <c r="R48" s="74"/>
      <c r="S48" s="74"/>
      <c r="T48" s="74"/>
      <c r="U48" s="74"/>
      <c r="V48" s="74"/>
      <c r="W48" s="74"/>
      <c r="X48" s="74"/>
      <c r="Y48" s="74"/>
      <c r="Z48" s="74"/>
    </row>
    <row r="49">
      <c r="A49" s="74"/>
      <c r="B49" s="73"/>
      <c r="C49" s="73"/>
      <c r="D49" s="73"/>
      <c r="E49" s="73"/>
      <c r="F49" s="74"/>
      <c r="G49" s="74"/>
      <c r="H49" s="74"/>
      <c r="I49" s="74"/>
      <c r="J49" s="74"/>
      <c r="K49" s="74"/>
      <c r="L49" s="74"/>
      <c r="M49" s="74"/>
      <c r="N49" s="74"/>
      <c r="O49" s="74"/>
      <c r="P49" s="74"/>
      <c r="Q49" s="74"/>
      <c r="R49" s="74"/>
      <c r="S49" s="74"/>
      <c r="T49" s="74"/>
      <c r="U49" s="74"/>
      <c r="V49" s="74"/>
      <c r="W49" s="74"/>
      <c r="X49" s="74"/>
      <c r="Y49" s="74"/>
      <c r="Z49" s="74"/>
    </row>
    <row r="50">
      <c r="A50" s="74"/>
      <c r="B50" s="73"/>
      <c r="C50" s="73"/>
      <c r="D50" s="73"/>
      <c r="E50" s="73"/>
      <c r="F50" s="74"/>
      <c r="G50" s="74"/>
      <c r="H50" s="74"/>
      <c r="I50" s="74"/>
      <c r="J50" s="74"/>
      <c r="K50" s="74"/>
      <c r="L50" s="74"/>
      <c r="M50" s="74"/>
      <c r="N50" s="74"/>
      <c r="O50" s="74"/>
      <c r="P50" s="74"/>
      <c r="Q50" s="74"/>
      <c r="R50" s="74"/>
      <c r="S50" s="74"/>
      <c r="T50" s="74"/>
      <c r="U50" s="74"/>
      <c r="V50" s="74"/>
      <c r="W50" s="74"/>
      <c r="X50" s="74"/>
      <c r="Y50" s="74"/>
      <c r="Z50" s="74"/>
    </row>
    <row r="51">
      <c r="A51" s="74"/>
      <c r="B51" s="73"/>
      <c r="C51" s="73"/>
      <c r="D51" s="73"/>
      <c r="E51" s="73"/>
      <c r="F51" s="74"/>
      <c r="G51" s="74"/>
      <c r="H51" s="74"/>
      <c r="I51" s="74"/>
      <c r="J51" s="74"/>
      <c r="K51" s="74"/>
      <c r="L51" s="74"/>
      <c r="M51" s="74"/>
      <c r="N51" s="74"/>
      <c r="O51" s="74"/>
      <c r="P51" s="74"/>
      <c r="Q51" s="74"/>
      <c r="R51" s="74"/>
      <c r="S51" s="74"/>
      <c r="T51" s="74"/>
      <c r="U51" s="74"/>
      <c r="V51" s="74"/>
      <c r="W51" s="74"/>
      <c r="X51" s="74"/>
      <c r="Y51" s="74"/>
      <c r="Z51" s="74"/>
    </row>
    <row r="52">
      <c r="A52" s="74"/>
      <c r="B52" s="73"/>
      <c r="C52" s="73"/>
      <c r="D52" s="73"/>
      <c r="E52" s="73"/>
      <c r="F52" s="74"/>
      <c r="G52" s="74"/>
      <c r="H52" s="74"/>
      <c r="I52" s="74"/>
      <c r="J52" s="74"/>
      <c r="K52" s="74"/>
      <c r="L52" s="74"/>
      <c r="M52" s="74"/>
      <c r="N52" s="74"/>
      <c r="O52" s="74"/>
      <c r="P52" s="74"/>
      <c r="Q52" s="74"/>
      <c r="R52" s="74"/>
      <c r="S52" s="74"/>
      <c r="T52" s="74"/>
      <c r="U52" s="74"/>
      <c r="V52" s="74"/>
      <c r="W52" s="74"/>
      <c r="X52" s="74"/>
      <c r="Y52" s="74"/>
      <c r="Z52" s="74"/>
    </row>
    <row r="53">
      <c r="A53" s="74"/>
      <c r="B53" s="73"/>
      <c r="C53" s="73"/>
      <c r="D53" s="73"/>
      <c r="E53" s="73"/>
      <c r="F53" s="74"/>
      <c r="G53" s="74"/>
      <c r="H53" s="74"/>
      <c r="I53" s="74"/>
      <c r="J53" s="74"/>
      <c r="K53" s="74"/>
      <c r="L53" s="74"/>
      <c r="M53" s="74"/>
      <c r="N53" s="74"/>
      <c r="O53" s="74"/>
      <c r="P53" s="74"/>
      <c r="Q53" s="74"/>
      <c r="R53" s="74"/>
      <c r="S53" s="74"/>
      <c r="T53" s="74"/>
      <c r="U53" s="74"/>
      <c r="V53" s="74"/>
      <c r="W53" s="74"/>
      <c r="X53" s="74"/>
      <c r="Y53" s="74"/>
      <c r="Z53" s="74"/>
    </row>
    <row r="54">
      <c r="A54" s="74"/>
      <c r="B54" s="73"/>
      <c r="C54" s="73"/>
      <c r="D54" s="73"/>
      <c r="E54" s="73"/>
      <c r="F54" s="74"/>
      <c r="G54" s="74"/>
      <c r="H54" s="74"/>
      <c r="I54" s="74"/>
      <c r="J54" s="74"/>
      <c r="K54" s="74"/>
      <c r="L54" s="74"/>
      <c r="M54" s="74"/>
      <c r="N54" s="74"/>
      <c r="O54" s="74"/>
      <c r="P54" s="74"/>
      <c r="Q54" s="74"/>
      <c r="R54" s="74"/>
      <c r="S54" s="74"/>
      <c r="T54" s="74"/>
      <c r="U54" s="74"/>
      <c r="V54" s="74"/>
      <c r="W54" s="74"/>
      <c r="X54" s="74"/>
      <c r="Y54" s="74"/>
      <c r="Z54" s="74"/>
    </row>
    <row r="55">
      <c r="A55" s="74"/>
      <c r="B55" s="73"/>
      <c r="C55" s="73"/>
      <c r="D55" s="73"/>
      <c r="E55" s="73"/>
      <c r="F55" s="74"/>
      <c r="G55" s="74"/>
      <c r="H55" s="74"/>
      <c r="I55" s="74"/>
      <c r="J55" s="74"/>
      <c r="K55" s="74"/>
      <c r="L55" s="74"/>
      <c r="M55" s="74"/>
      <c r="N55" s="74"/>
      <c r="O55" s="74"/>
      <c r="P55" s="74"/>
      <c r="Q55" s="74"/>
      <c r="R55" s="74"/>
      <c r="S55" s="74"/>
      <c r="T55" s="74"/>
      <c r="U55" s="74"/>
      <c r="V55" s="74"/>
      <c r="W55" s="74"/>
      <c r="X55" s="74"/>
      <c r="Y55" s="74"/>
      <c r="Z55" s="74"/>
    </row>
    <row r="56">
      <c r="A56" s="74"/>
      <c r="B56" s="73"/>
      <c r="C56" s="73"/>
      <c r="D56" s="73"/>
      <c r="E56" s="73"/>
      <c r="F56" s="74"/>
      <c r="G56" s="74"/>
      <c r="H56" s="74"/>
      <c r="I56" s="74"/>
      <c r="J56" s="74"/>
      <c r="K56" s="74"/>
      <c r="L56" s="74"/>
      <c r="M56" s="74"/>
      <c r="N56" s="74"/>
      <c r="O56" s="74"/>
      <c r="P56" s="74"/>
      <c r="Q56" s="74"/>
      <c r="R56" s="74"/>
      <c r="S56" s="74"/>
      <c r="T56" s="74"/>
      <c r="U56" s="74"/>
      <c r="V56" s="74"/>
      <c r="W56" s="74"/>
      <c r="X56" s="74"/>
      <c r="Y56" s="74"/>
      <c r="Z56" s="74"/>
    </row>
    <row r="57">
      <c r="A57" s="74"/>
      <c r="B57" s="73"/>
      <c r="C57" s="73"/>
      <c r="D57" s="73"/>
      <c r="E57" s="73"/>
      <c r="F57" s="74"/>
      <c r="G57" s="74"/>
      <c r="H57" s="74"/>
      <c r="I57" s="74"/>
      <c r="J57" s="74"/>
      <c r="K57" s="74"/>
      <c r="L57" s="74"/>
      <c r="M57" s="74"/>
      <c r="N57" s="74"/>
      <c r="O57" s="74"/>
      <c r="P57" s="74"/>
      <c r="Q57" s="74"/>
      <c r="R57" s="74"/>
      <c r="S57" s="74"/>
      <c r="T57" s="74"/>
      <c r="U57" s="74"/>
      <c r="V57" s="74"/>
      <c r="W57" s="74"/>
      <c r="X57" s="74"/>
      <c r="Y57" s="74"/>
      <c r="Z57" s="74"/>
    </row>
    <row r="58">
      <c r="A58" s="74"/>
      <c r="B58" s="73"/>
      <c r="C58" s="73"/>
      <c r="D58" s="73"/>
      <c r="E58" s="73"/>
      <c r="F58" s="74"/>
      <c r="G58" s="74"/>
      <c r="H58" s="74"/>
      <c r="I58" s="74"/>
      <c r="J58" s="74"/>
      <c r="K58" s="74"/>
      <c r="L58" s="74"/>
      <c r="M58" s="74"/>
      <c r="N58" s="74"/>
      <c r="O58" s="74"/>
      <c r="P58" s="74"/>
      <c r="Q58" s="74"/>
      <c r="R58" s="74"/>
      <c r="S58" s="74"/>
      <c r="T58" s="74"/>
      <c r="U58" s="74"/>
      <c r="V58" s="74"/>
      <c r="W58" s="74"/>
      <c r="X58" s="74"/>
      <c r="Y58" s="74"/>
      <c r="Z58" s="74"/>
    </row>
    <row r="59">
      <c r="A59" s="74"/>
      <c r="B59" s="73"/>
      <c r="C59" s="73"/>
      <c r="D59" s="73"/>
      <c r="E59" s="73"/>
      <c r="F59" s="74"/>
      <c r="G59" s="74"/>
      <c r="H59" s="74"/>
      <c r="I59" s="74"/>
      <c r="J59" s="74"/>
      <c r="K59" s="74"/>
      <c r="L59" s="74"/>
      <c r="M59" s="74"/>
      <c r="N59" s="74"/>
      <c r="O59" s="74"/>
      <c r="P59" s="74"/>
      <c r="Q59" s="74"/>
      <c r="R59" s="74"/>
      <c r="S59" s="74"/>
      <c r="T59" s="74"/>
      <c r="U59" s="74"/>
      <c r="V59" s="74"/>
      <c r="W59" s="74"/>
      <c r="X59" s="74"/>
      <c r="Y59" s="74"/>
      <c r="Z59" s="74"/>
    </row>
    <row r="60">
      <c r="A60" s="74"/>
      <c r="B60" s="73"/>
      <c r="C60" s="73"/>
      <c r="D60" s="73"/>
      <c r="E60" s="73"/>
      <c r="F60" s="74"/>
      <c r="G60" s="74"/>
      <c r="H60" s="74"/>
      <c r="I60" s="74"/>
      <c r="J60" s="74"/>
      <c r="K60" s="74"/>
      <c r="L60" s="74"/>
      <c r="M60" s="74"/>
      <c r="N60" s="74"/>
      <c r="O60" s="74"/>
      <c r="P60" s="74"/>
      <c r="Q60" s="74"/>
      <c r="R60" s="74"/>
      <c r="S60" s="74"/>
      <c r="T60" s="74"/>
      <c r="U60" s="74"/>
      <c r="V60" s="74"/>
      <c r="W60" s="74"/>
      <c r="X60" s="74"/>
      <c r="Y60" s="74"/>
      <c r="Z60" s="74"/>
    </row>
    <row r="61">
      <c r="A61" s="74"/>
      <c r="B61" s="73"/>
      <c r="C61" s="73"/>
      <c r="D61" s="73"/>
      <c r="E61" s="73"/>
      <c r="F61" s="74"/>
      <c r="G61" s="74"/>
      <c r="H61" s="74"/>
      <c r="I61" s="74"/>
      <c r="J61" s="74"/>
      <c r="K61" s="74"/>
      <c r="L61" s="74"/>
      <c r="M61" s="74"/>
      <c r="N61" s="74"/>
      <c r="O61" s="74"/>
      <c r="P61" s="74"/>
      <c r="Q61" s="74"/>
      <c r="R61" s="74"/>
      <c r="S61" s="74"/>
      <c r="T61" s="74"/>
      <c r="U61" s="74"/>
      <c r="V61" s="74"/>
      <c r="W61" s="74"/>
      <c r="X61" s="74"/>
      <c r="Y61" s="74"/>
      <c r="Z61" s="74"/>
    </row>
    <row r="62">
      <c r="A62" s="74"/>
      <c r="B62" s="73"/>
      <c r="C62" s="73"/>
      <c r="D62" s="73"/>
      <c r="E62" s="73"/>
      <c r="F62" s="74"/>
      <c r="G62" s="74"/>
      <c r="H62" s="74"/>
      <c r="I62" s="74"/>
      <c r="J62" s="74"/>
      <c r="K62" s="74"/>
      <c r="L62" s="74"/>
      <c r="M62" s="74"/>
      <c r="N62" s="74"/>
      <c r="O62" s="74"/>
      <c r="P62" s="74"/>
      <c r="Q62" s="74"/>
      <c r="R62" s="74"/>
      <c r="S62" s="74"/>
      <c r="T62" s="74"/>
      <c r="U62" s="74"/>
      <c r="V62" s="74"/>
      <c r="W62" s="74"/>
      <c r="X62" s="74"/>
      <c r="Y62" s="74"/>
      <c r="Z62" s="74"/>
    </row>
    <row r="63">
      <c r="A63" s="74"/>
      <c r="B63" s="73"/>
      <c r="C63" s="73"/>
      <c r="D63" s="73"/>
      <c r="E63" s="73"/>
      <c r="F63" s="74"/>
      <c r="G63" s="74"/>
      <c r="H63" s="74"/>
      <c r="I63" s="74"/>
      <c r="J63" s="74"/>
      <c r="K63" s="74"/>
      <c r="L63" s="74"/>
      <c r="M63" s="74"/>
      <c r="N63" s="74"/>
      <c r="O63" s="74"/>
      <c r="P63" s="74"/>
      <c r="Q63" s="74"/>
      <c r="R63" s="74"/>
      <c r="S63" s="74"/>
      <c r="T63" s="74"/>
      <c r="U63" s="74"/>
      <c r="V63" s="74"/>
      <c r="W63" s="74"/>
      <c r="X63" s="74"/>
      <c r="Y63" s="74"/>
      <c r="Z63" s="74"/>
    </row>
    <row r="64">
      <c r="A64" s="74"/>
      <c r="B64" s="73"/>
      <c r="C64" s="73"/>
      <c r="D64" s="73"/>
      <c r="E64" s="73"/>
      <c r="F64" s="74"/>
      <c r="G64" s="74"/>
      <c r="H64" s="74"/>
      <c r="I64" s="74"/>
      <c r="J64" s="74"/>
      <c r="K64" s="74"/>
      <c r="L64" s="74"/>
      <c r="M64" s="74"/>
      <c r="N64" s="74"/>
      <c r="O64" s="74"/>
      <c r="P64" s="74"/>
      <c r="Q64" s="74"/>
      <c r="R64" s="74"/>
      <c r="S64" s="74"/>
      <c r="T64" s="74"/>
      <c r="U64" s="74"/>
      <c r="V64" s="74"/>
      <c r="W64" s="74"/>
      <c r="X64" s="74"/>
      <c r="Y64" s="74"/>
      <c r="Z64" s="74"/>
    </row>
    <row r="65">
      <c r="A65" s="74"/>
      <c r="B65" s="73"/>
      <c r="C65" s="73"/>
      <c r="D65" s="73"/>
      <c r="E65" s="73"/>
      <c r="F65" s="74"/>
      <c r="G65" s="74"/>
      <c r="H65" s="74"/>
      <c r="I65" s="74"/>
      <c r="J65" s="74"/>
      <c r="K65" s="74"/>
      <c r="L65" s="74"/>
      <c r="M65" s="74"/>
      <c r="N65" s="74"/>
      <c r="O65" s="74"/>
      <c r="P65" s="74"/>
      <c r="Q65" s="74"/>
      <c r="R65" s="74"/>
      <c r="S65" s="74"/>
      <c r="T65" s="74"/>
      <c r="U65" s="74"/>
      <c r="V65" s="74"/>
      <c r="W65" s="74"/>
      <c r="X65" s="74"/>
      <c r="Y65" s="74"/>
      <c r="Z65" s="74"/>
    </row>
    <row r="66">
      <c r="A66" s="74"/>
      <c r="B66" s="73"/>
      <c r="C66" s="73"/>
      <c r="D66" s="73"/>
      <c r="E66" s="73"/>
      <c r="F66" s="74"/>
      <c r="G66" s="74"/>
      <c r="H66" s="74"/>
      <c r="I66" s="74"/>
      <c r="J66" s="74"/>
      <c r="K66" s="74"/>
      <c r="L66" s="74"/>
      <c r="M66" s="74"/>
      <c r="N66" s="74"/>
      <c r="O66" s="74"/>
      <c r="P66" s="74"/>
      <c r="Q66" s="74"/>
      <c r="R66" s="74"/>
      <c r="S66" s="74"/>
      <c r="T66" s="74"/>
      <c r="U66" s="74"/>
      <c r="V66" s="74"/>
      <c r="W66" s="74"/>
      <c r="X66" s="74"/>
      <c r="Y66" s="74"/>
      <c r="Z66" s="74"/>
    </row>
    <row r="67">
      <c r="A67" s="74"/>
      <c r="B67" s="73"/>
      <c r="C67" s="73"/>
      <c r="D67" s="73"/>
      <c r="E67" s="73"/>
      <c r="F67" s="74"/>
      <c r="G67" s="74"/>
      <c r="H67" s="74"/>
      <c r="I67" s="74"/>
      <c r="J67" s="74"/>
      <c r="K67" s="74"/>
      <c r="L67" s="74"/>
      <c r="M67" s="74"/>
      <c r="N67" s="74"/>
      <c r="O67" s="74"/>
      <c r="P67" s="74"/>
      <c r="Q67" s="74"/>
      <c r="R67" s="74"/>
      <c r="S67" s="74"/>
      <c r="T67" s="74"/>
      <c r="U67" s="74"/>
      <c r="V67" s="74"/>
      <c r="W67" s="74"/>
      <c r="X67" s="74"/>
      <c r="Y67" s="74"/>
      <c r="Z67" s="74"/>
    </row>
    <row r="68">
      <c r="A68" s="74"/>
      <c r="B68" s="73"/>
      <c r="C68" s="73"/>
      <c r="D68" s="73"/>
      <c r="E68" s="73"/>
      <c r="F68" s="74"/>
      <c r="G68" s="74"/>
      <c r="H68" s="74"/>
      <c r="I68" s="74"/>
      <c r="J68" s="74"/>
      <c r="K68" s="74"/>
      <c r="L68" s="74"/>
      <c r="M68" s="74"/>
      <c r="N68" s="74"/>
      <c r="O68" s="74"/>
      <c r="P68" s="74"/>
      <c r="Q68" s="74"/>
      <c r="R68" s="74"/>
      <c r="S68" s="74"/>
      <c r="T68" s="74"/>
      <c r="U68" s="74"/>
      <c r="V68" s="74"/>
      <c r="W68" s="74"/>
      <c r="X68" s="74"/>
      <c r="Y68" s="74"/>
      <c r="Z68" s="74"/>
    </row>
    <row r="69">
      <c r="A69" s="74"/>
      <c r="B69" s="73"/>
      <c r="C69" s="73"/>
      <c r="D69" s="73"/>
      <c r="E69" s="73"/>
      <c r="F69" s="74"/>
      <c r="G69" s="74"/>
      <c r="H69" s="74"/>
      <c r="I69" s="74"/>
      <c r="J69" s="74"/>
      <c r="K69" s="74"/>
      <c r="L69" s="74"/>
      <c r="M69" s="74"/>
      <c r="N69" s="74"/>
      <c r="O69" s="74"/>
      <c r="P69" s="74"/>
      <c r="Q69" s="74"/>
      <c r="R69" s="74"/>
      <c r="S69" s="74"/>
      <c r="T69" s="74"/>
      <c r="U69" s="74"/>
      <c r="V69" s="74"/>
      <c r="W69" s="74"/>
      <c r="X69" s="74"/>
      <c r="Y69" s="74"/>
      <c r="Z69" s="74"/>
    </row>
    <row r="70">
      <c r="A70" s="74"/>
      <c r="B70" s="73"/>
      <c r="C70" s="73"/>
      <c r="D70" s="73"/>
      <c r="E70" s="73"/>
      <c r="F70" s="74"/>
      <c r="G70" s="74"/>
      <c r="H70" s="74"/>
      <c r="I70" s="74"/>
      <c r="J70" s="74"/>
      <c r="K70" s="74"/>
      <c r="L70" s="74"/>
      <c r="M70" s="74"/>
      <c r="N70" s="74"/>
      <c r="O70" s="74"/>
      <c r="P70" s="74"/>
      <c r="Q70" s="74"/>
      <c r="R70" s="74"/>
      <c r="S70" s="74"/>
      <c r="T70" s="74"/>
      <c r="U70" s="74"/>
      <c r="V70" s="74"/>
      <c r="W70" s="74"/>
      <c r="X70" s="74"/>
      <c r="Y70" s="74"/>
      <c r="Z70" s="74"/>
    </row>
    <row r="71">
      <c r="A71" s="74"/>
      <c r="B71" s="73"/>
      <c r="C71" s="73"/>
      <c r="D71" s="73"/>
      <c r="E71" s="73"/>
      <c r="F71" s="74"/>
      <c r="G71" s="74"/>
      <c r="H71" s="74"/>
      <c r="I71" s="74"/>
      <c r="J71" s="74"/>
      <c r="K71" s="74"/>
      <c r="L71" s="74"/>
      <c r="M71" s="74"/>
      <c r="N71" s="74"/>
      <c r="O71" s="74"/>
      <c r="P71" s="74"/>
      <c r="Q71" s="74"/>
      <c r="R71" s="74"/>
      <c r="S71" s="74"/>
      <c r="T71" s="74"/>
      <c r="U71" s="74"/>
      <c r="V71" s="74"/>
      <c r="W71" s="74"/>
      <c r="X71" s="74"/>
      <c r="Y71" s="74"/>
      <c r="Z71" s="74"/>
    </row>
    <row r="72">
      <c r="A72" s="74"/>
      <c r="B72" s="73"/>
      <c r="C72" s="73"/>
      <c r="D72" s="73"/>
      <c r="E72" s="73"/>
      <c r="F72" s="74"/>
      <c r="G72" s="74"/>
      <c r="H72" s="74"/>
      <c r="I72" s="74"/>
      <c r="J72" s="74"/>
      <c r="K72" s="74"/>
      <c r="L72" s="74"/>
      <c r="M72" s="74"/>
      <c r="N72" s="74"/>
      <c r="O72" s="74"/>
      <c r="P72" s="74"/>
      <c r="Q72" s="74"/>
      <c r="R72" s="74"/>
      <c r="S72" s="74"/>
      <c r="T72" s="74"/>
      <c r="U72" s="74"/>
      <c r="V72" s="74"/>
      <c r="W72" s="74"/>
      <c r="X72" s="74"/>
      <c r="Y72" s="74"/>
      <c r="Z72" s="74"/>
    </row>
    <row r="73">
      <c r="A73" s="74"/>
      <c r="B73" s="73"/>
      <c r="C73" s="73"/>
      <c r="D73" s="73"/>
      <c r="E73" s="73"/>
      <c r="F73" s="74"/>
      <c r="G73" s="74"/>
      <c r="H73" s="74"/>
      <c r="I73" s="74"/>
      <c r="J73" s="74"/>
      <c r="K73" s="74"/>
      <c r="L73" s="74"/>
      <c r="M73" s="74"/>
      <c r="N73" s="74"/>
      <c r="O73" s="74"/>
      <c r="P73" s="74"/>
      <c r="Q73" s="74"/>
      <c r="R73" s="74"/>
      <c r="S73" s="74"/>
      <c r="T73" s="74"/>
      <c r="U73" s="74"/>
      <c r="V73" s="74"/>
      <c r="W73" s="74"/>
      <c r="X73" s="74"/>
      <c r="Y73" s="74"/>
      <c r="Z73" s="74"/>
    </row>
    <row r="74">
      <c r="A74" s="74"/>
      <c r="B74" s="73"/>
      <c r="C74" s="73"/>
      <c r="D74" s="73"/>
      <c r="E74" s="73"/>
      <c r="F74" s="74"/>
      <c r="G74" s="74"/>
      <c r="H74" s="74"/>
      <c r="I74" s="74"/>
      <c r="J74" s="74"/>
      <c r="K74" s="74"/>
      <c r="L74" s="74"/>
      <c r="M74" s="74"/>
      <c r="N74" s="74"/>
      <c r="O74" s="74"/>
      <c r="P74" s="74"/>
      <c r="Q74" s="74"/>
      <c r="R74" s="74"/>
      <c r="S74" s="74"/>
      <c r="T74" s="74"/>
      <c r="U74" s="74"/>
      <c r="V74" s="74"/>
      <c r="W74" s="74"/>
      <c r="X74" s="74"/>
      <c r="Y74" s="74"/>
      <c r="Z74" s="74"/>
    </row>
    <row r="75">
      <c r="A75" s="74"/>
      <c r="B75" s="73"/>
      <c r="C75" s="73"/>
      <c r="D75" s="73"/>
      <c r="E75" s="73"/>
      <c r="F75" s="74"/>
      <c r="G75" s="74"/>
      <c r="H75" s="74"/>
      <c r="I75" s="74"/>
      <c r="J75" s="74"/>
      <c r="K75" s="74"/>
      <c r="L75" s="74"/>
      <c r="M75" s="74"/>
      <c r="N75" s="74"/>
      <c r="O75" s="74"/>
      <c r="P75" s="74"/>
      <c r="Q75" s="74"/>
      <c r="R75" s="74"/>
      <c r="S75" s="74"/>
      <c r="T75" s="74"/>
      <c r="U75" s="74"/>
      <c r="V75" s="74"/>
      <c r="W75" s="74"/>
      <c r="X75" s="74"/>
      <c r="Y75" s="74"/>
      <c r="Z75" s="74"/>
    </row>
    <row r="76">
      <c r="A76" s="74"/>
      <c r="B76" s="73"/>
      <c r="C76" s="73"/>
      <c r="D76" s="73"/>
      <c r="E76" s="73"/>
      <c r="F76" s="74"/>
      <c r="G76" s="74"/>
      <c r="H76" s="74"/>
      <c r="I76" s="74"/>
      <c r="J76" s="74"/>
      <c r="K76" s="74"/>
      <c r="L76" s="74"/>
      <c r="M76" s="74"/>
      <c r="N76" s="74"/>
      <c r="O76" s="74"/>
      <c r="P76" s="74"/>
      <c r="Q76" s="74"/>
      <c r="R76" s="74"/>
      <c r="S76" s="74"/>
      <c r="T76" s="74"/>
      <c r="U76" s="74"/>
      <c r="V76" s="74"/>
      <c r="W76" s="74"/>
      <c r="X76" s="74"/>
      <c r="Y76" s="74"/>
      <c r="Z76" s="74"/>
    </row>
    <row r="77">
      <c r="A77" s="74"/>
      <c r="B77" s="73"/>
      <c r="C77" s="73"/>
      <c r="D77" s="73"/>
      <c r="E77" s="73"/>
      <c r="F77" s="74"/>
      <c r="G77" s="74"/>
      <c r="H77" s="74"/>
      <c r="I77" s="74"/>
      <c r="J77" s="74"/>
      <c r="K77" s="74"/>
      <c r="L77" s="74"/>
      <c r="M77" s="74"/>
      <c r="N77" s="74"/>
      <c r="O77" s="74"/>
      <c r="P77" s="74"/>
      <c r="Q77" s="74"/>
      <c r="R77" s="74"/>
      <c r="S77" s="74"/>
      <c r="T77" s="74"/>
      <c r="U77" s="74"/>
      <c r="V77" s="74"/>
      <c r="W77" s="74"/>
      <c r="X77" s="74"/>
      <c r="Y77" s="74"/>
      <c r="Z77" s="74"/>
    </row>
    <row r="78">
      <c r="A78" s="74"/>
      <c r="B78" s="73"/>
      <c r="C78" s="73"/>
      <c r="D78" s="73"/>
      <c r="E78" s="73"/>
      <c r="F78" s="74"/>
      <c r="G78" s="74"/>
      <c r="H78" s="74"/>
      <c r="I78" s="74"/>
      <c r="J78" s="74"/>
      <c r="K78" s="74"/>
      <c r="L78" s="74"/>
      <c r="M78" s="74"/>
      <c r="N78" s="74"/>
      <c r="O78" s="74"/>
      <c r="P78" s="74"/>
      <c r="Q78" s="74"/>
      <c r="R78" s="74"/>
      <c r="S78" s="74"/>
      <c r="T78" s="74"/>
      <c r="U78" s="74"/>
      <c r="V78" s="74"/>
      <c r="W78" s="74"/>
      <c r="X78" s="74"/>
      <c r="Y78" s="74"/>
      <c r="Z78" s="74"/>
    </row>
    <row r="79">
      <c r="A79" s="74"/>
      <c r="B79" s="73"/>
      <c r="C79" s="73"/>
      <c r="D79" s="73"/>
      <c r="E79" s="73"/>
      <c r="F79" s="74"/>
      <c r="G79" s="74"/>
      <c r="H79" s="74"/>
      <c r="I79" s="74"/>
      <c r="J79" s="74"/>
      <c r="K79" s="74"/>
      <c r="L79" s="74"/>
      <c r="M79" s="74"/>
      <c r="N79" s="74"/>
      <c r="O79" s="74"/>
      <c r="P79" s="74"/>
      <c r="Q79" s="74"/>
      <c r="R79" s="74"/>
      <c r="S79" s="74"/>
      <c r="T79" s="74"/>
      <c r="U79" s="74"/>
      <c r="V79" s="74"/>
      <c r="W79" s="74"/>
      <c r="X79" s="74"/>
      <c r="Y79" s="74"/>
      <c r="Z79" s="74"/>
    </row>
    <row r="80">
      <c r="A80" s="74"/>
      <c r="B80" s="73"/>
      <c r="C80" s="73"/>
      <c r="D80" s="73"/>
      <c r="E80" s="73"/>
      <c r="F80" s="74"/>
      <c r="G80" s="74"/>
      <c r="H80" s="74"/>
      <c r="I80" s="74"/>
      <c r="J80" s="74"/>
      <c r="K80" s="74"/>
      <c r="L80" s="74"/>
      <c r="M80" s="74"/>
      <c r="N80" s="74"/>
      <c r="O80" s="74"/>
      <c r="P80" s="74"/>
      <c r="Q80" s="74"/>
      <c r="R80" s="74"/>
      <c r="S80" s="74"/>
      <c r="T80" s="74"/>
      <c r="U80" s="74"/>
      <c r="V80" s="74"/>
      <c r="W80" s="74"/>
      <c r="X80" s="74"/>
      <c r="Y80" s="74"/>
      <c r="Z80" s="74"/>
    </row>
    <row r="81">
      <c r="A81" s="74"/>
      <c r="B81" s="73"/>
      <c r="C81" s="73"/>
      <c r="D81" s="73"/>
      <c r="E81" s="73"/>
      <c r="F81" s="74"/>
      <c r="G81" s="74"/>
      <c r="H81" s="74"/>
      <c r="I81" s="74"/>
      <c r="J81" s="74"/>
      <c r="K81" s="74"/>
      <c r="L81" s="74"/>
      <c r="M81" s="74"/>
      <c r="N81" s="74"/>
      <c r="O81" s="74"/>
      <c r="P81" s="74"/>
      <c r="Q81" s="74"/>
      <c r="R81" s="74"/>
      <c r="S81" s="74"/>
      <c r="T81" s="74"/>
      <c r="U81" s="74"/>
      <c r="V81" s="74"/>
      <c r="W81" s="74"/>
      <c r="X81" s="74"/>
      <c r="Y81" s="74"/>
      <c r="Z81" s="74"/>
    </row>
    <row r="82">
      <c r="A82" s="74"/>
      <c r="B82" s="73"/>
      <c r="C82" s="73"/>
      <c r="D82" s="73"/>
      <c r="E82" s="73"/>
      <c r="F82" s="74"/>
      <c r="G82" s="74"/>
      <c r="H82" s="74"/>
      <c r="I82" s="74"/>
      <c r="J82" s="74"/>
      <c r="K82" s="74"/>
      <c r="L82" s="74"/>
      <c r="M82" s="74"/>
      <c r="N82" s="74"/>
      <c r="O82" s="74"/>
      <c r="P82" s="74"/>
      <c r="Q82" s="74"/>
      <c r="R82" s="74"/>
      <c r="S82" s="74"/>
      <c r="T82" s="74"/>
      <c r="U82" s="74"/>
      <c r="V82" s="74"/>
      <c r="W82" s="74"/>
      <c r="X82" s="74"/>
      <c r="Y82" s="74"/>
      <c r="Z82" s="74"/>
    </row>
    <row r="83">
      <c r="A83" s="74"/>
      <c r="B83" s="73"/>
      <c r="C83" s="73"/>
      <c r="D83" s="73"/>
      <c r="E83" s="73"/>
      <c r="F83" s="74"/>
      <c r="G83" s="74"/>
      <c r="H83" s="74"/>
      <c r="I83" s="74"/>
      <c r="J83" s="74"/>
      <c r="K83" s="74"/>
      <c r="L83" s="74"/>
      <c r="M83" s="74"/>
      <c r="N83" s="74"/>
      <c r="O83" s="74"/>
      <c r="P83" s="74"/>
      <c r="Q83" s="74"/>
      <c r="R83" s="74"/>
      <c r="S83" s="74"/>
      <c r="T83" s="74"/>
      <c r="U83" s="74"/>
      <c r="V83" s="74"/>
      <c r="W83" s="74"/>
      <c r="X83" s="74"/>
      <c r="Y83" s="74"/>
      <c r="Z83" s="74"/>
    </row>
    <row r="84">
      <c r="A84" s="74"/>
      <c r="B84" s="73"/>
      <c r="C84" s="73"/>
      <c r="D84" s="73"/>
      <c r="E84" s="73"/>
      <c r="F84" s="74"/>
      <c r="G84" s="74"/>
      <c r="H84" s="74"/>
      <c r="I84" s="74"/>
      <c r="J84" s="74"/>
      <c r="K84" s="74"/>
      <c r="L84" s="74"/>
      <c r="M84" s="74"/>
      <c r="N84" s="74"/>
      <c r="O84" s="74"/>
      <c r="P84" s="74"/>
      <c r="Q84" s="74"/>
      <c r="R84" s="74"/>
      <c r="S84" s="74"/>
      <c r="T84" s="74"/>
      <c r="U84" s="74"/>
      <c r="V84" s="74"/>
      <c r="W84" s="74"/>
      <c r="X84" s="74"/>
      <c r="Y84" s="74"/>
      <c r="Z84" s="74"/>
    </row>
    <row r="85">
      <c r="A85" s="74"/>
      <c r="B85" s="73"/>
      <c r="C85" s="73"/>
      <c r="D85" s="73"/>
      <c r="E85" s="73"/>
      <c r="F85" s="74"/>
      <c r="G85" s="74"/>
      <c r="H85" s="74"/>
      <c r="I85" s="74"/>
      <c r="J85" s="74"/>
      <c r="K85" s="74"/>
      <c r="L85" s="74"/>
      <c r="M85" s="74"/>
      <c r="N85" s="74"/>
      <c r="O85" s="74"/>
      <c r="P85" s="74"/>
      <c r="Q85" s="74"/>
      <c r="R85" s="74"/>
      <c r="S85" s="74"/>
      <c r="T85" s="74"/>
      <c r="U85" s="74"/>
      <c r="V85" s="74"/>
      <c r="W85" s="74"/>
      <c r="X85" s="74"/>
      <c r="Y85" s="74"/>
      <c r="Z85" s="74"/>
    </row>
    <row r="86">
      <c r="A86" s="74"/>
      <c r="B86" s="73"/>
      <c r="C86" s="73"/>
      <c r="D86" s="73"/>
      <c r="E86" s="73"/>
      <c r="F86" s="74"/>
      <c r="G86" s="74"/>
      <c r="H86" s="74"/>
      <c r="I86" s="74"/>
      <c r="J86" s="74"/>
      <c r="K86" s="74"/>
      <c r="L86" s="74"/>
      <c r="M86" s="74"/>
      <c r="N86" s="74"/>
      <c r="O86" s="74"/>
      <c r="P86" s="74"/>
      <c r="Q86" s="74"/>
      <c r="R86" s="74"/>
      <c r="S86" s="74"/>
      <c r="T86" s="74"/>
      <c r="U86" s="74"/>
      <c r="V86" s="74"/>
      <c r="W86" s="74"/>
      <c r="X86" s="74"/>
      <c r="Y86" s="74"/>
      <c r="Z86" s="74"/>
    </row>
    <row r="87">
      <c r="A87" s="74"/>
      <c r="B87" s="73"/>
      <c r="C87" s="73"/>
      <c r="D87" s="73"/>
      <c r="E87" s="73"/>
      <c r="F87" s="74"/>
      <c r="G87" s="74"/>
      <c r="H87" s="74"/>
      <c r="I87" s="74"/>
      <c r="J87" s="74"/>
      <c r="K87" s="74"/>
      <c r="L87" s="74"/>
      <c r="M87" s="74"/>
      <c r="N87" s="74"/>
      <c r="O87" s="74"/>
      <c r="P87" s="74"/>
      <c r="Q87" s="74"/>
      <c r="R87" s="74"/>
      <c r="S87" s="74"/>
      <c r="T87" s="74"/>
      <c r="U87" s="74"/>
      <c r="V87" s="74"/>
      <c r="W87" s="74"/>
      <c r="X87" s="74"/>
      <c r="Y87" s="74"/>
      <c r="Z87" s="74"/>
    </row>
    <row r="88">
      <c r="A88" s="74"/>
      <c r="B88" s="73"/>
      <c r="C88" s="73"/>
      <c r="D88" s="73"/>
      <c r="E88" s="73"/>
      <c r="F88" s="74"/>
      <c r="G88" s="74"/>
      <c r="H88" s="74"/>
      <c r="I88" s="74"/>
      <c r="J88" s="74"/>
      <c r="K88" s="74"/>
      <c r="L88" s="74"/>
      <c r="M88" s="74"/>
      <c r="N88" s="74"/>
      <c r="O88" s="74"/>
      <c r="P88" s="74"/>
      <c r="Q88" s="74"/>
      <c r="R88" s="74"/>
      <c r="S88" s="74"/>
      <c r="T88" s="74"/>
      <c r="U88" s="74"/>
      <c r="V88" s="74"/>
      <c r="W88" s="74"/>
      <c r="X88" s="74"/>
      <c r="Y88" s="74"/>
      <c r="Z88" s="74"/>
    </row>
    <row r="89">
      <c r="A89" s="74"/>
      <c r="B89" s="73"/>
      <c r="C89" s="73"/>
      <c r="D89" s="73"/>
      <c r="E89" s="73"/>
      <c r="F89" s="74"/>
      <c r="G89" s="74"/>
      <c r="H89" s="74"/>
      <c r="I89" s="74"/>
      <c r="J89" s="74"/>
      <c r="K89" s="74"/>
      <c r="L89" s="74"/>
      <c r="M89" s="74"/>
      <c r="N89" s="74"/>
      <c r="O89" s="74"/>
      <c r="P89" s="74"/>
      <c r="Q89" s="74"/>
      <c r="R89" s="74"/>
      <c r="S89" s="74"/>
      <c r="T89" s="74"/>
      <c r="U89" s="74"/>
      <c r="V89" s="74"/>
      <c r="W89" s="74"/>
      <c r="X89" s="74"/>
      <c r="Y89" s="74"/>
      <c r="Z89" s="74"/>
    </row>
    <row r="90">
      <c r="A90" s="74"/>
      <c r="B90" s="73"/>
      <c r="C90" s="73"/>
      <c r="D90" s="73"/>
      <c r="E90" s="73"/>
      <c r="F90" s="74"/>
      <c r="G90" s="74"/>
      <c r="H90" s="74"/>
      <c r="I90" s="74"/>
      <c r="J90" s="74"/>
      <c r="K90" s="74"/>
      <c r="L90" s="74"/>
      <c r="M90" s="74"/>
      <c r="N90" s="74"/>
      <c r="O90" s="74"/>
      <c r="P90" s="74"/>
      <c r="Q90" s="74"/>
      <c r="R90" s="74"/>
      <c r="S90" s="74"/>
      <c r="T90" s="74"/>
      <c r="U90" s="74"/>
      <c r="V90" s="74"/>
      <c r="W90" s="74"/>
      <c r="X90" s="74"/>
      <c r="Y90" s="74"/>
      <c r="Z90" s="74"/>
    </row>
    <row r="91">
      <c r="A91" s="74"/>
      <c r="B91" s="73"/>
      <c r="C91" s="73"/>
      <c r="D91" s="73"/>
      <c r="E91" s="73"/>
      <c r="F91" s="74"/>
      <c r="G91" s="74"/>
      <c r="H91" s="74"/>
      <c r="I91" s="74"/>
      <c r="J91" s="74"/>
      <c r="K91" s="74"/>
      <c r="L91" s="74"/>
      <c r="M91" s="74"/>
      <c r="N91" s="74"/>
      <c r="O91" s="74"/>
      <c r="P91" s="74"/>
      <c r="Q91" s="74"/>
      <c r="R91" s="74"/>
      <c r="S91" s="74"/>
      <c r="T91" s="74"/>
      <c r="U91" s="74"/>
      <c r="V91" s="74"/>
      <c r="W91" s="74"/>
      <c r="X91" s="74"/>
      <c r="Y91" s="74"/>
      <c r="Z91" s="74"/>
    </row>
    <row r="92">
      <c r="A92" s="74"/>
      <c r="B92" s="73"/>
      <c r="C92" s="73"/>
      <c r="D92" s="73"/>
      <c r="E92" s="73"/>
      <c r="F92" s="74"/>
      <c r="G92" s="74"/>
      <c r="H92" s="74"/>
      <c r="I92" s="74"/>
      <c r="J92" s="74"/>
      <c r="K92" s="74"/>
      <c r="L92" s="74"/>
      <c r="M92" s="74"/>
      <c r="N92" s="74"/>
      <c r="O92" s="74"/>
      <c r="P92" s="74"/>
      <c r="Q92" s="74"/>
      <c r="R92" s="74"/>
      <c r="S92" s="74"/>
      <c r="T92" s="74"/>
      <c r="U92" s="74"/>
      <c r="V92" s="74"/>
      <c r="W92" s="74"/>
      <c r="X92" s="74"/>
      <c r="Y92" s="74"/>
      <c r="Z92" s="74"/>
    </row>
    <row r="93">
      <c r="A93" s="74"/>
      <c r="B93" s="73"/>
      <c r="C93" s="73"/>
      <c r="D93" s="73"/>
      <c r="E93" s="73"/>
      <c r="F93" s="74"/>
      <c r="G93" s="74"/>
      <c r="H93" s="74"/>
      <c r="I93" s="74"/>
      <c r="J93" s="74"/>
      <c r="K93" s="74"/>
      <c r="L93" s="74"/>
      <c r="M93" s="74"/>
      <c r="N93" s="74"/>
      <c r="O93" s="74"/>
      <c r="P93" s="74"/>
      <c r="Q93" s="74"/>
      <c r="R93" s="74"/>
      <c r="S93" s="74"/>
      <c r="T93" s="74"/>
      <c r="U93" s="74"/>
      <c r="V93" s="74"/>
      <c r="W93" s="74"/>
      <c r="X93" s="74"/>
      <c r="Y93" s="74"/>
      <c r="Z93" s="74"/>
    </row>
    <row r="94">
      <c r="A94" s="74"/>
      <c r="B94" s="73"/>
      <c r="C94" s="73"/>
      <c r="D94" s="73"/>
      <c r="E94" s="73"/>
      <c r="F94" s="74"/>
      <c r="G94" s="74"/>
      <c r="H94" s="74"/>
      <c r="I94" s="74"/>
      <c r="J94" s="74"/>
      <c r="K94" s="74"/>
      <c r="L94" s="74"/>
      <c r="M94" s="74"/>
      <c r="N94" s="74"/>
      <c r="O94" s="74"/>
      <c r="P94" s="74"/>
      <c r="Q94" s="74"/>
      <c r="R94" s="74"/>
      <c r="S94" s="74"/>
      <c r="T94" s="74"/>
      <c r="U94" s="74"/>
      <c r="V94" s="74"/>
      <c r="W94" s="74"/>
      <c r="X94" s="74"/>
      <c r="Y94" s="74"/>
      <c r="Z94" s="74"/>
    </row>
    <row r="95">
      <c r="A95" s="74"/>
      <c r="B95" s="73"/>
      <c r="C95" s="73"/>
      <c r="D95" s="73"/>
      <c r="E95" s="73"/>
      <c r="F95" s="74"/>
      <c r="G95" s="74"/>
      <c r="H95" s="74"/>
      <c r="I95" s="74"/>
      <c r="J95" s="74"/>
      <c r="K95" s="74"/>
      <c r="L95" s="74"/>
      <c r="M95" s="74"/>
      <c r="N95" s="74"/>
      <c r="O95" s="74"/>
      <c r="P95" s="74"/>
      <c r="Q95" s="74"/>
      <c r="R95" s="74"/>
      <c r="S95" s="74"/>
      <c r="T95" s="74"/>
      <c r="U95" s="74"/>
      <c r="V95" s="74"/>
      <c r="W95" s="74"/>
      <c r="X95" s="74"/>
      <c r="Y95" s="74"/>
      <c r="Z95" s="74"/>
    </row>
    <row r="96">
      <c r="A96" s="74"/>
      <c r="B96" s="73"/>
      <c r="C96" s="73"/>
      <c r="D96" s="73"/>
      <c r="E96" s="73"/>
      <c r="F96" s="74"/>
      <c r="G96" s="74"/>
      <c r="H96" s="74"/>
      <c r="I96" s="74"/>
      <c r="J96" s="74"/>
      <c r="K96" s="74"/>
      <c r="L96" s="74"/>
      <c r="M96" s="74"/>
      <c r="N96" s="74"/>
      <c r="O96" s="74"/>
      <c r="P96" s="74"/>
      <c r="Q96" s="74"/>
      <c r="R96" s="74"/>
      <c r="S96" s="74"/>
      <c r="T96" s="74"/>
      <c r="U96" s="74"/>
      <c r="V96" s="74"/>
      <c r="W96" s="74"/>
      <c r="X96" s="74"/>
      <c r="Y96" s="74"/>
      <c r="Z96" s="74"/>
    </row>
    <row r="97">
      <c r="A97" s="74"/>
      <c r="B97" s="73"/>
      <c r="C97" s="73"/>
      <c r="D97" s="73"/>
      <c r="E97" s="73"/>
      <c r="F97" s="74"/>
      <c r="G97" s="74"/>
      <c r="H97" s="74"/>
      <c r="I97" s="74"/>
      <c r="J97" s="74"/>
      <c r="K97" s="74"/>
      <c r="L97" s="74"/>
      <c r="M97" s="74"/>
      <c r="N97" s="74"/>
      <c r="O97" s="74"/>
      <c r="P97" s="74"/>
      <c r="Q97" s="74"/>
      <c r="R97" s="74"/>
      <c r="S97" s="74"/>
      <c r="T97" s="74"/>
      <c r="U97" s="74"/>
      <c r="V97" s="74"/>
      <c r="W97" s="74"/>
      <c r="X97" s="74"/>
      <c r="Y97" s="74"/>
      <c r="Z97" s="74"/>
    </row>
    <row r="98">
      <c r="A98" s="74"/>
      <c r="B98" s="73"/>
      <c r="C98" s="73"/>
      <c r="D98" s="73"/>
      <c r="E98" s="73"/>
      <c r="F98" s="74"/>
      <c r="G98" s="74"/>
      <c r="H98" s="74"/>
      <c r="I98" s="74"/>
      <c r="J98" s="74"/>
      <c r="K98" s="74"/>
      <c r="L98" s="74"/>
      <c r="M98" s="74"/>
      <c r="N98" s="74"/>
      <c r="O98" s="74"/>
      <c r="P98" s="74"/>
      <c r="Q98" s="74"/>
      <c r="R98" s="74"/>
      <c r="S98" s="74"/>
      <c r="T98" s="74"/>
      <c r="U98" s="74"/>
      <c r="V98" s="74"/>
      <c r="W98" s="74"/>
      <c r="X98" s="74"/>
      <c r="Y98" s="74"/>
      <c r="Z98" s="74"/>
    </row>
    <row r="99">
      <c r="A99" s="74"/>
      <c r="B99" s="73"/>
      <c r="C99" s="73"/>
      <c r="D99" s="73"/>
      <c r="E99" s="73"/>
      <c r="F99" s="74"/>
      <c r="G99" s="74"/>
      <c r="H99" s="74"/>
      <c r="I99" s="74"/>
      <c r="J99" s="74"/>
      <c r="K99" s="74"/>
      <c r="L99" s="74"/>
      <c r="M99" s="74"/>
      <c r="N99" s="74"/>
      <c r="O99" s="74"/>
      <c r="P99" s="74"/>
      <c r="Q99" s="74"/>
      <c r="R99" s="74"/>
      <c r="S99" s="74"/>
      <c r="T99" s="74"/>
      <c r="U99" s="74"/>
      <c r="V99" s="74"/>
      <c r="W99" s="74"/>
      <c r="X99" s="74"/>
      <c r="Y99" s="74"/>
      <c r="Z99" s="74"/>
    </row>
    <row r="100">
      <c r="A100" s="74"/>
      <c r="B100" s="73"/>
      <c r="C100" s="73"/>
      <c r="D100" s="73"/>
      <c r="E100" s="73"/>
      <c r="F100" s="74"/>
      <c r="G100" s="74"/>
      <c r="H100" s="74"/>
      <c r="I100" s="74"/>
      <c r="J100" s="74"/>
      <c r="K100" s="74"/>
      <c r="L100" s="74"/>
      <c r="M100" s="74"/>
      <c r="N100" s="74"/>
      <c r="O100" s="74"/>
      <c r="P100" s="74"/>
      <c r="Q100" s="74"/>
      <c r="R100" s="74"/>
      <c r="S100" s="74"/>
      <c r="T100" s="74"/>
      <c r="U100" s="74"/>
      <c r="V100" s="74"/>
      <c r="W100" s="74"/>
      <c r="X100" s="74"/>
      <c r="Y100" s="74"/>
      <c r="Z100" s="74"/>
    </row>
    <row r="101">
      <c r="A101" s="74"/>
      <c r="B101" s="73"/>
      <c r="C101" s="73"/>
      <c r="D101" s="73"/>
      <c r="E101" s="73"/>
      <c r="F101" s="74"/>
      <c r="G101" s="74"/>
      <c r="H101" s="74"/>
      <c r="I101" s="74"/>
      <c r="J101" s="74"/>
      <c r="K101" s="74"/>
      <c r="L101" s="74"/>
      <c r="M101" s="74"/>
      <c r="N101" s="74"/>
      <c r="O101" s="74"/>
      <c r="P101" s="74"/>
      <c r="Q101" s="74"/>
      <c r="R101" s="74"/>
      <c r="S101" s="74"/>
      <c r="T101" s="74"/>
      <c r="U101" s="74"/>
      <c r="V101" s="74"/>
      <c r="W101" s="74"/>
      <c r="X101" s="74"/>
      <c r="Y101" s="74"/>
      <c r="Z101" s="74"/>
    </row>
    <row r="102">
      <c r="A102" s="74"/>
      <c r="B102" s="73"/>
      <c r="C102" s="73"/>
      <c r="D102" s="73"/>
      <c r="E102" s="73"/>
      <c r="F102" s="74"/>
      <c r="G102" s="74"/>
      <c r="H102" s="74"/>
      <c r="I102" s="74"/>
      <c r="J102" s="74"/>
      <c r="K102" s="74"/>
      <c r="L102" s="74"/>
      <c r="M102" s="74"/>
      <c r="N102" s="74"/>
      <c r="O102" s="74"/>
      <c r="P102" s="74"/>
      <c r="Q102" s="74"/>
      <c r="R102" s="74"/>
      <c r="S102" s="74"/>
      <c r="T102" s="74"/>
      <c r="U102" s="74"/>
      <c r="V102" s="74"/>
      <c r="W102" s="74"/>
      <c r="X102" s="74"/>
      <c r="Y102" s="74"/>
      <c r="Z102" s="74"/>
    </row>
    <row r="103">
      <c r="A103" s="74"/>
      <c r="B103" s="73"/>
      <c r="C103" s="73"/>
      <c r="D103" s="73"/>
      <c r="E103" s="73"/>
      <c r="F103" s="74"/>
      <c r="G103" s="74"/>
      <c r="H103" s="74"/>
      <c r="I103" s="74"/>
      <c r="J103" s="74"/>
      <c r="K103" s="74"/>
      <c r="L103" s="74"/>
      <c r="M103" s="74"/>
      <c r="N103" s="74"/>
      <c r="O103" s="74"/>
      <c r="P103" s="74"/>
      <c r="Q103" s="74"/>
      <c r="R103" s="74"/>
      <c r="S103" s="74"/>
      <c r="T103" s="74"/>
      <c r="U103" s="74"/>
      <c r="V103" s="74"/>
      <c r="W103" s="74"/>
      <c r="X103" s="74"/>
      <c r="Y103" s="74"/>
      <c r="Z103" s="74"/>
    </row>
    <row r="104">
      <c r="A104" s="74"/>
      <c r="B104" s="73"/>
      <c r="C104" s="73"/>
      <c r="D104" s="73"/>
      <c r="E104" s="73"/>
      <c r="F104" s="74"/>
      <c r="G104" s="74"/>
      <c r="H104" s="74"/>
      <c r="I104" s="74"/>
      <c r="J104" s="74"/>
      <c r="K104" s="74"/>
      <c r="L104" s="74"/>
      <c r="M104" s="74"/>
      <c r="N104" s="74"/>
      <c r="O104" s="74"/>
      <c r="P104" s="74"/>
      <c r="Q104" s="74"/>
      <c r="R104" s="74"/>
      <c r="S104" s="74"/>
      <c r="T104" s="74"/>
      <c r="U104" s="74"/>
      <c r="V104" s="74"/>
      <c r="W104" s="74"/>
      <c r="X104" s="74"/>
      <c r="Y104" s="74"/>
      <c r="Z104" s="74"/>
    </row>
    <row r="105">
      <c r="A105" s="74"/>
      <c r="B105" s="73"/>
      <c r="C105" s="73"/>
      <c r="D105" s="73"/>
      <c r="E105" s="73"/>
      <c r="F105" s="74"/>
      <c r="G105" s="74"/>
      <c r="H105" s="74"/>
      <c r="I105" s="74"/>
      <c r="J105" s="74"/>
      <c r="K105" s="74"/>
      <c r="L105" s="74"/>
      <c r="M105" s="74"/>
      <c r="N105" s="74"/>
      <c r="O105" s="74"/>
      <c r="P105" s="74"/>
      <c r="Q105" s="74"/>
      <c r="R105" s="74"/>
      <c r="S105" s="74"/>
      <c r="T105" s="74"/>
      <c r="U105" s="74"/>
      <c r="V105" s="74"/>
      <c r="W105" s="74"/>
      <c r="X105" s="74"/>
      <c r="Y105" s="74"/>
      <c r="Z105" s="74"/>
    </row>
    <row r="106">
      <c r="A106" s="74"/>
      <c r="B106" s="73"/>
      <c r="C106" s="73"/>
      <c r="D106" s="73"/>
      <c r="E106" s="73"/>
      <c r="F106" s="74"/>
      <c r="G106" s="74"/>
      <c r="H106" s="74"/>
      <c r="I106" s="74"/>
      <c r="J106" s="74"/>
      <c r="K106" s="74"/>
      <c r="L106" s="74"/>
      <c r="M106" s="74"/>
      <c r="N106" s="74"/>
      <c r="O106" s="74"/>
      <c r="P106" s="74"/>
      <c r="Q106" s="74"/>
      <c r="R106" s="74"/>
      <c r="S106" s="74"/>
      <c r="T106" s="74"/>
      <c r="U106" s="74"/>
      <c r="V106" s="74"/>
      <c r="W106" s="74"/>
      <c r="X106" s="74"/>
      <c r="Y106" s="74"/>
      <c r="Z106" s="74"/>
    </row>
    <row r="107">
      <c r="A107" s="74"/>
      <c r="B107" s="73"/>
      <c r="C107" s="73"/>
      <c r="D107" s="73"/>
      <c r="E107" s="73"/>
      <c r="F107" s="74"/>
      <c r="G107" s="74"/>
      <c r="H107" s="74"/>
      <c r="I107" s="74"/>
      <c r="J107" s="74"/>
      <c r="K107" s="74"/>
      <c r="L107" s="74"/>
      <c r="M107" s="74"/>
      <c r="N107" s="74"/>
      <c r="O107" s="74"/>
      <c r="P107" s="74"/>
      <c r="Q107" s="74"/>
      <c r="R107" s="74"/>
      <c r="S107" s="74"/>
      <c r="T107" s="74"/>
      <c r="U107" s="74"/>
      <c r="V107" s="74"/>
      <c r="W107" s="74"/>
      <c r="X107" s="74"/>
      <c r="Y107" s="74"/>
      <c r="Z107" s="74"/>
    </row>
    <row r="108">
      <c r="A108" s="74"/>
      <c r="B108" s="73"/>
      <c r="C108" s="73"/>
      <c r="D108" s="73"/>
      <c r="E108" s="73"/>
      <c r="F108" s="74"/>
      <c r="G108" s="74"/>
      <c r="H108" s="74"/>
      <c r="I108" s="74"/>
      <c r="J108" s="74"/>
      <c r="K108" s="74"/>
      <c r="L108" s="74"/>
      <c r="M108" s="74"/>
      <c r="N108" s="74"/>
      <c r="O108" s="74"/>
      <c r="P108" s="74"/>
      <c r="Q108" s="74"/>
      <c r="R108" s="74"/>
      <c r="S108" s="74"/>
      <c r="T108" s="74"/>
      <c r="U108" s="74"/>
      <c r="V108" s="74"/>
      <c r="W108" s="74"/>
      <c r="X108" s="74"/>
      <c r="Y108" s="74"/>
      <c r="Z108" s="74"/>
    </row>
    <row r="109">
      <c r="A109" s="74"/>
      <c r="B109" s="73"/>
      <c r="C109" s="73"/>
      <c r="D109" s="73"/>
      <c r="E109" s="73"/>
      <c r="F109" s="74"/>
      <c r="G109" s="74"/>
      <c r="H109" s="74"/>
      <c r="I109" s="74"/>
      <c r="J109" s="74"/>
      <c r="K109" s="74"/>
      <c r="L109" s="74"/>
      <c r="M109" s="74"/>
      <c r="N109" s="74"/>
      <c r="O109" s="74"/>
      <c r="P109" s="74"/>
      <c r="Q109" s="74"/>
      <c r="R109" s="74"/>
      <c r="S109" s="74"/>
      <c r="T109" s="74"/>
      <c r="U109" s="74"/>
      <c r="V109" s="74"/>
      <c r="W109" s="74"/>
      <c r="X109" s="74"/>
      <c r="Y109" s="74"/>
      <c r="Z109" s="74"/>
    </row>
    <row r="110">
      <c r="A110" s="74"/>
      <c r="B110" s="73"/>
      <c r="C110" s="73"/>
      <c r="D110" s="73"/>
      <c r="E110" s="73"/>
      <c r="F110" s="74"/>
      <c r="G110" s="74"/>
      <c r="H110" s="74"/>
      <c r="I110" s="74"/>
      <c r="J110" s="74"/>
      <c r="K110" s="74"/>
      <c r="L110" s="74"/>
      <c r="M110" s="74"/>
      <c r="N110" s="74"/>
      <c r="O110" s="74"/>
      <c r="P110" s="74"/>
      <c r="Q110" s="74"/>
      <c r="R110" s="74"/>
      <c r="S110" s="74"/>
      <c r="T110" s="74"/>
      <c r="U110" s="74"/>
      <c r="V110" s="74"/>
      <c r="W110" s="74"/>
      <c r="X110" s="74"/>
      <c r="Y110" s="74"/>
      <c r="Z110" s="74"/>
    </row>
    <row r="111">
      <c r="A111" s="74"/>
      <c r="B111" s="73"/>
      <c r="C111" s="73"/>
      <c r="D111" s="73"/>
      <c r="E111" s="73"/>
      <c r="F111" s="74"/>
      <c r="G111" s="74"/>
      <c r="H111" s="74"/>
      <c r="I111" s="74"/>
      <c r="J111" s="74"/>
      <c r="K111" s="74"/>
      <c r="L111" s="74"/>
      <c r="M111" s="74"/>
      <c r="N111" s="74"/>
      <c r="O111" s="74"/>
      <c r="P111" s="74"/>
      <c r="Q111" s="74"/>
      <c r="R111" s="74"/>
      <c r="S111" s="74"/>
      <c r="T111" s="74"/>
      <c r="U111" s="74"/>
      <c r="V111" s="74"/>
      <c r="W111" s="74"/>
      <c r="X111" s="74"/>
      <c r="Y111" s="74"/>
      <c r="Z111" s="74"/>
    </row>
    <row r="112">
      <c r="A112" s="74"/>
      <c r="B112" s="73"/>
      <c r="C112" s="73"/>
      <c r="D112" s="73"/>
      <c r="E112" s="73"/>
      <c r="F112" s="74"/>
      <c r="G112" s="74"/>
      <c r="H112" s="74"/>
      <c r="I112" s="74"/>
      <c r="J112" s="74"/>
      <c r="K112" s="74"/>
      <c r="L112" s="74"/>
      <c r="M112" s="74"/>
      <c r="N112" s="74"/>
      <c r="O112" s="74"/>
      <c r="P112" s="74"/>
      <c r="Q112" s="74"/>
      <c r="R112" s="74"/>
      <c r="S112" s="74"/>
      <c r="T112" s="74"/>
      <c r="U112" s="74"/>
      <c r="V112" s="74"/>
      <c r="W112" s="74"/>
      <c r="X112" s="74"/>
      <c r="Y112" s="74"/>
      <c r="Z112" s="74"/>
    </row>
    <row r="113">
      <c r="A113" s="74"/>
      <c r="B113" s="73"/>
      <c r="C113" s="73"/>
      <c r="D113" s="73"/>
      <c r="E113" s="73"/>
      <c r="F113" s="74"/>
      <c r="G113" s="74"/>
      <c r="H113" s="74"/>
      <c r="I113" s="74"/>
      <c r="J113" s="74"/>
      <c r="K113" s="74"/>
      <c r="L113" s="74"/>
      <c r="M113" s="74"/>
      <c r="N113" s="74"/>
      <c r="O113" s="74"/>
      <c r="P113" s="74"/>
      <c r="Q113" s="74"/>
      <c r="R113" s="74"/>
      <c r="S113" s="74"/>
      <c r="T113" s="74"/>
      <c r="U113" s="74"/>
      <c r="V113" s="74"/>
      <c r="W113" s="74"/>
      <c r="X113" s="74"/>
      <c r="Y113" s="74"/>
      <c r="Z113" s="74"/>
    </row>
    <row r="114">
      <c r="A114" s="74"/>
      <c r="B114" s="73"/>
      <c r="C114" s="73"/>
      <c r="D114" s="73"/>
      <c r="E114" s="73"/>
      <c r="F114" s="74"/>
      <c r="G114" s="74"/>
      <c r="H114" s="74"/>
      <c r="I114" s="74"/>
      <c r="J114" s="74"/>
      <c r="K114" s="74"/>
      <c r="L114" s="74"/>
      <c r="M114" s="74"/>
      <c r="N114" s="74"/>
      <c r="O114" s="74"/>
      <c r="P114" s="74"/>
      <c r="Q114" s="74"/>
      <c r="R114" s="74"/>
      <c r="S114" s="74"/>
      <c r="T114" s="74"/>
      <c r="U114" s="74"/>
      <c r="V114" s="74"/>
      <c r="W114" s="74"/>
      <c r="X114" s="74"/>
      <c r="Y114" s="74"/>
      <c r="Z114" s="74"/>
    </row>
    <row r="115">
      <c r="A115" s="74"/>
      <c r="B115" s="73"/>
      <c r="C115" s="73"/>
      <c r="D115" s="73"/>
      <c r="E115" s="73"/>
      <c r="F115" s="74"/>
      <c r="G115" s="74"/>
      <c r="H115" s="74"/>
      <c r="I115" s="74"/>
      <c r="J115" s="74"/>
      <c r="K115" s="74"/>
      <c r="L115" s="74"/>
      <c r="M115" s="74"/>
      <c r="N115" s="74"/>
      <c r="O115" s="74"/>
      <c r="P115" s="74"/>
      <c r="Q115" s="74"/>
      <c r="R115" s="74"/>
      <c r="S115" s="74"/>
      <c r="T115" s="74"/>
      <c r="U115" s="74"/>
      <c r="V115" s="74"/>
      <c r="W115" s="74"/>
      <c r="X115" s="74"/>
      <c r="Y115" s="74"/>
      <c r="Z115" s="74"/>
    </row>
    <row r="116">
      <c r="A116" s="74"/>
      <c r="B116" s="73"/>
      <c r="C116" s="73"/>
      <c r="D116" s="73"/>
      <c r="E116" s="73"/>
      <c r="F116" s="74"/>
      <c r="G116" s="74"/>
      <c r="H116" s="74"/>
      <c r="I116" s="74"/>
      <c r="J116" s="74"/>
      <c r="K116" s="74"/>
      <c r="L116" s="74"/>
      <c r="M116" s="74"/>
      <c r="N116" s="74"/>
      <c r="O116" s="74"/>
      <c r="P116" s="74"/>
      <c r="Q116" s="74"/>
      <c r="R116" s="74"/>
      <c r="S116" s="74"/>
      <c r="T116" s="74"/>
      <c r="U116" s="74"/>
      <c r="V116" s="74"/>
      <c r="W116" s="74"/>
      <c r="X116" s="74"/>
      <c r="Y116" s="74"/>
      <c r="Z116" s="74"/>
    </row>
    <row r="117">
      <c r="A117" s="74"/>
      <c r="B117" s="73"/>
      <c r="C117" s="73"/>
      <c r="D117" s="73"/>
      <c r="E117" s="73"/>
      <c r="F117" s="74"/>
      <c r="G117" s="74"/>
      <c r="H117" s="74"/>
      <c r="I117" s="74"/>
      <c r="J117" s="74"/>
      <c r="K117" s="74"/>
      <c r="L117" s="74"/>
      <c r="M117" s="74"/>
      <c r="N117" s="74"/>
      <c r="O117" s="74"/>
      <c r="P117" s="74"/>
      <c r="Q117" s="74"/>
      <c r="R117" s="74"/>
      <c r="S117" s="74"/>
      <c r="T117" s="74"/>
      <c r="U117" s="74"/>
      <c r="V117" s="74"/>
      <c r="W117" s="74"/>
      <c r="X117" s="74"/>
      <c r="Y117" s="74"/>
      <c r="Z117" s="74"/>
    </row>
    <row r="118">
      <c r="A118" s="74"/>
      <c r="B118" s="73"/>
      <c r="C118" s="73"/>
      <c r="D118" s="73"/>
      <c r="E118" s="73"/>
      <c r="F118" s="74"/>
      <c r="G118" s="74"/>
      <c r="H118" s="74"/>
      <c r="I118" s="74"/>
      <c r="J118" s="74"/>
      <c r="K118" s="74"/>
      <c r="L118" s="74"/>
      <c r="M118" s="74"/>
      <c r="N118" s="74"/>
      <c r="O118" s="74"/>
      <c r="P118" s="74"/>
      <c r="Q118" s="74"/>
      <c r="R118" s="74"/>
      <c r="S118" s="74"/>
      <c r="T118" s="74"/>
      <c r="U118" s="74"/>
      <c r="V118" s="74"/>
      <c r="W118" s="74"/>
      <c r="X118" s="74"/>
      <c r="Y118" s="74"/>
      <c r="Z118" s="74"/>
    </row>
    <row r="119">
      <c r="A119" s="74"/>
      <c r="B119" s="73"/>
      <c r="C119" s="73"/>
      <c r="D119" s="73"/>
      <c r="E119" s="73"/>
      <c r="F119" s="74"/>
      <c r="G119" s="74"/>
      <c r="H119" s="74"/>
      <c r="I119" s="74"/>
      <c r="J119" s="74"/>
      <c r="K119" s="74"/>
      <c r="L119" s="74"/>
      <c r="M119" s="74"/>
      <c r="N119" s="74"/>
      <c r="O119" s="74"/>
      <c r="P119" s="74"/>
      <c r="Q119" s="74"/>
      <c r="R119" s="74"/>
      <c r="S119" s="74"/>
      <c r="T119" s="74"/>
      <c r="U119" s="74"/>
      <c r="V119" s="74"/>
      <c r="W119" s="74"/>
      <c r="X119" s="74"/>
      <c r="Y119" s="74"/>
      <c r="Z119" s="74"/>
    </row>
    <row r="120">
      <c r="A120" s="74"/>
      <c r="B120" s="73"/>
      <c r="C120" s="73"/>
      <c r="D120" s="73"/>
      <c r="E120" s="73"/>
      <c r="F120" s="74"/>
      <c r="G120" s="74"/>
      <c r="H120" s="74"/>
      <c r="I120" s="74"/>
      <c r="J120" s="74"/>
      <c r="K120" s="74"/>
      <c r="L120" s="74"/>
      <c r="M120" s="74"/>
      <c r="N120" s="74"/>
      <c r="O120" s="74"/>
      <c r="P120" s="74"/>
      <c r="Q120" s="74"/>
      <c r="R120" s="74"/>
      <c r="S120" s="74"/>
      <c r="T120" s="74"/>
      <c r="U120" s="74"/>
      <c r="V120" s="74"/>
      <c r="W120" s="74"/>
      <c r="X120" s="74"/>
      <c r="Y120" s="74"/>
      <c r="Z120" s="74"/>
    </row>
    <row r="121">
      <c r="A121" s="74"/>
      <c r="B121" s="73"/>
      <c r="C121" s="73"/>
      <c r="D121" s="73"/>
      <c r="E121" s="73"/>
      <c r="F121" s="74"/>
      <c r="G121" s="74"/>
      <c r="H121" s="74"/>
      <c r="I121" s="74"/>
      <c r="J121" s="74"/>
      <c r="K121" s="74"/>
      <c r="L121" s="74"/>
      <c r="M121" s="74"/>
      <c r="N121" s="74"/>
      <c r="O121" s="74"/>
      <c r="P121" s="74"/>
      <c r="Q121" s="74"/>
      <c r="R121" s="74"/>
      <c r="S121" s="74"/>
      <c r="T121" s="74"/>
      <c r="U121" s="74"/>
      <c r="V121" s="74"/>
      <c r="W121" s="74"/>
      <c r="X121" s="74"/>
      <c r="Y121" s="74"/>
      <c r="Z121" s="74"/>
    </row>
    <row r="122">
      <c r="A122" s="74"/>
      <c r="B122" s="73"/>
      <c r="C122" s="73"/>
      <c r="D122" s="73"/>
      <c r="E122" s="73"/>
      <c r="F122" s="74"/>
      <c r="G122" s="74"/>
      <c r="H122" s="74"/>
      <c r="I122" s="74"/>
      <c r="J122" s="74"/>
      <c r="K122" s="74"/>
      <c r="L122" s="74"/>
      <c r="M122" s="74"/>
      <c r="N122" s="74"/>
      <c r="O122" s="74"/>
      <c r="P122" s="74"/>
      <c r="Q122" s="74"/>
      <c r="R122" s="74"/>
      <c r="S122" s="74"/>
      <c r="T122" s="74"/>
      <c r="U122" s="74"/>
      <c r="V122" s="74"/>
      <c r="W122" s="74"/>
      <c r="X122" s="74"/>
      <c r="Y122" s="74"/>
      <c r="Z122" s="74"/>
    </row>
    <row r="123">
      <c r="A123" s="74"/>
      <c r="B123" s="73"/>
      <c r="C123" s="73"/>
      <c r="D123" s="73"/>
      <c r="E123" s="73"/>
      <c r="F123" s="74"/>
      <c r="G123" s="74"/>
      <c r="H123" s="74"/>
      <c r="I123" s="74"/>
      <c r="J123" s="74"/>
      <c r="K123" s="74"/>
      <c r="L123" s="74"/>
      <c r="M123" s="74"/>
      <c r="N123" s="74"/>
      <c r="O123" s="74"/>
      <c r="P123" s="74"/>
      <c r="Q123" s="74"/>
      <c r="R123" s="74"/>
      <c r="S123" s="74"/>
      <c r="T123" s="74"/>
      <c r="U123" s="74"/>
      <c r="V123" s="74"/>
      <c r="W123" s="74"/>
      <c r="X123" s="74"/>
      <c r="Y123" s="74"/>
      <c r="Z123" s="74"/>
    </row>
    <row r="124">
      <c r="A124" s="74"/>
      <c r="B124" s="73"/>
      <c r="C124" s="73"/>
      <c r="D124" s="73"/>
      <c r="E124" s="73"/>
      <c r="F124" s="74"/>
      <c r="G124" s="74"/>
      <c r="H124" s="74"/>
      <c r="I124" s="74"/>
      <c r="J124" s="74"/>
      <c r="K124" s="74"/>
      <c r="L124" s="74"/>
      <c r="M124" s="74"/>
      <c r="N124" s="74"/>
      <c r="O124" s="74"/>
      <c r="P124" s="74"/>
      <c r="Q124" s="74"/>
      <c r="R124" s="74"/>
      <c r="S124" s="74"/>
      <c r="T124" s="74"/>
      <c r="U124" s="74"/>
      <c r="V124" s="74"/>
      <c r="W124" s="74"/>
      <c r="X124" s="74"/>
      <c r="Y124" s="74"/>
      <c r="Z124" s="74"/>
    </row>
    <row r="125">
      <c r="A125" s="74"/>
      <c r="B125" s="73"/>
      <c r="C125" s="73"/>
      <c r="D125" s="73"/>
      <c r="E125" s="73"/>
      <c r="F125" s="74"/>
      <c r="G125" s="74"/>
      <c r="H125" s="74"/>
      <c r="I125" s="74"/>
      <c r="J125" s="74"/>
      <c r="K125" s="74"/>
      <c r="L125" s="74"/>
      <c r="M125" s="74"/>
      <c r="N125" s="74"/>
      <c r="O125" s="74"/>
      <c r="P125" s="74"/>
      <c r="Q125" s="74"/>
      <c r="R125" s="74"/>
      <c r="S125" s="74"/>
      <c r="T125" s="74"/>
      <c r="U125" s="74"/>
      <c r="V125" s="74"/>
      <c r="W125" s="74"/>
      <c r="X125" s="74"/>
      <c r="Y125" s="74"/>
      <c r="Z125" s="74"/>
    </row>
    <row r="126">
      <c r="A126" s="74"/>
      <c r="B126" s="73"/>
      <c r="C126" s="73"/>
      <c r="D126" s="73"/>
      <c r="E126" s="73"/>
      <c r="F126" s="74"/>
      <c r="G126" s="74"/>
      <c r="H126" s="74"/>
      <c r="I126" s="74"/>
      <c r="J126" s="74"/>
      <c r="K126" s="74"/>
      <c r="L126" s="74"/>
      <c r="M126" s="74"/>
      <c r="N126" s="74"/>
      <c r="O126" s="74"/>
      <c r="P126" s="74"/>
      <c r="Q126" s="74"/>
      <c r="R126" s="74"/>
      <c r="S126" s="74"/>
      <c r="T126" s="74"/>
      <c r="U126" s="74"/>
      <c r="V126" s="74"/>
      <c r="W126" s="74"/>
      <c r="X126" s="74"/>
      <c r="Y126" s="74"/>
      <c r="Z126" s="74"/>
    </row>
    <row r="127">
      <c r="A127" s="74"/>
      <c r="B127" s="73"/>
      <c r="C127" s="73"/>
      <c r="D127" s="73"/>
      <c r="E127" s="73"/>
      <c r="F127" s="74"/>
      <c r="G127" s="74"/>
      <c r="H127" s="74"/>
      <c r="I127" s="74"/>
      <c r="J127" s="74"/>
      <c r="K127" s="74"/>
      <c r="L127" s="74"/>
      <c r="M127" s="74"/>
      <c r="N127" s="74"/>
      <c r="O127" s="74"/>
      <c r="P127" s="74"/>
      <c r="Q127" s="74"/>
      <c r="R127" s="74"/>
      <c r="S127" s="74"/>
      <c r="T127" s="74"/>
      <c r="U127" s="74"/>
      <c r="V127" s="74"/>
      <c r="W127" s="74"/>
      <c r="X127" s="74"/>
      <c r="Y127" s="74"/>
      <c r="Z127" s="74"/>
    </row>
    <row r="128">
      <c r="A128" s="74"/>
      <c r="B128" s="73"/>
      <c r="C128" s="73"/>
      <c r="D128" s="73"/>
      <c r="E128" s="73"/>
      <c r="F128" s="74"/>
      <c r="G128" s="74"/>
      <c r="H128" s="74"/>
      <c r="I128" s="74"/>
      <c r="J128" s="74"/>
      <c r="K128" s="74"/>
      <c r="L128" s="74"/>
      <c r="M128" s="74"/>
      <c r="N128" s="74"/>
      <c r="O128" s="74"/>
      <c r="P128" s="74"/>
      <c r="Q128" s="74"/>
      <c r="R128" s="74"/>
      <c r="S128" s="74"/>
      <c r="T128" s="74"/>
      <c r="U128" s="74"/>
      <c r="V128" s="74"/>
      <c r="W128" s="74"/>
      <c r="X128" s="74"/>
      <c r="Y128" s="74"/>
      <c r="Z128" s="74"/>
    </row>
    <row r="129">
      <c r="A129" s="74"/>
      <c r="B129" s="73"/>
      <c r="C129" s="73"/>
      <c r="D129" s="73"/>
      <c r="E129" s="73"/>
      <c r="F129" s="74"/>
      <c r="G129" s="74"/>
      <c r="H129" s="74"/>
      <c r="I129" s="74"/>
      <c r="J129" s="74"/>
      <c r="K129" s="74"/>
      <c r="L129" s="74"/>
      <c r="M129" s="74"/>
      <c r="N129" s="74"/>
      <c r="O129" s="74"/>
      <c r="P129" s="74"/>
      <c r="Q129" s="74"/>
      <c r="R129" s="74"/>
      <c r="S129" s="74"/>
      <c r="T129" s="74"/>
      <c r="U129" s="74"/>
      <c r="V129" s="74"/>
      <c r="W129" s="74"/>
      <c r="X129" s="74"/>
      <c r="Y129" s="74"/>
      <c r="Z129" s="74"/>
    </row>
    <row r="130">
      <c r="A130" s="74"/>
      <c r="B130" s="73"/>
      <c r="C130" s="73"/>
      <c r="D130" s="73"/>
      <c r="E130" s="73"/>
      <c r="F130" s="74"/>
      <c r="G130" s="74"/>
      <c r="H130" s="74"/>
      <c r="I130" s="74"/>
      <c r="J130" s="74"/>
      <c r="K130" s="74"/>
      <c r="L130" s="74"/>
      <c r="M130" s="74"/>
      <c r="N130" s="74"/>
      <c r="O130" s="74"/>
      <c r="P130" s="74"/>
      <c r="Q130" s="74"/>
      <c r="R130" s="74"/>
      <c r="S130" s="74"/>
      <c r="T130" s="74"/>
      <c r="U130" s="74"/>
      <c r="V130" s="74"/>
      <c r="W130" s="74"/>
      <c r="X130" s="74"/>
      <c r="Y130" s="74"/>
      <c r="Z130" s="74"/>
    </row>
    <row r="131">
      <c r="A131" s="74"/>
      <c r="B131" s="73"/>
      <c r="C131" s="73"/>
      <c r="D131" s="73"/>
      <c r="E131" s="73"/>
      <c r="F131" s="74"/>
      <c r="G131" s="74"/>
      <c r="H131" s="74"/>
      <c r="I131" s="74"/>
      <c r="J131" s="74"/>
      <c r="K131" s="74"/>
      <c r="L131" s="74"/>
      <c r="M131" s="74"/>
      <c r="N131" s="74"/>
      <c r="O131" s="74"/>
      <c r="P131" s="74"/>
      <c r="Q131" s="74"/>
      <c r="R131" s="74"/>
      <c r="S131" s="74"/>
      <c r="T131" s="74"/>
      <c r="U131" s="74"/>
      <c r="V131" s="74"/>
      <c r="W131" s="74"/>
      <c r="X131" s="74"/>
      <c r="Y131" s="74"/>
      <c r="Z131" s="74"/>
    </row>
    <row r="132">
      <c r="A132" s="74"/>
      <c r="B132" s="73"/>
      <c r="C132" s="73"/>
      <c r="D132" s="73"/>
      <c r="E132" s="73"/>
      <c r="F132" s="74"/>
      <c r="G132" s="74"/>
      <c r="H132" s="74"/>
      <c r="I132" s="74"/>
      <c r="J132" s="74"/>
      <c r="K132" s="74"/>
      <c r="L132" s="74"/>
      <c r="M132" s="74"/>
      <c r="N132" s="74"/>
      <c r="O132" s="74"/>
      <c r="P132" s="74"/>
      <c r="Q132" s="74"/>
      <c r="R132" s="74"/>
      <c r="S132" s="74"/>
      <c r="T132" s="74"/>
      <c r="U132" s="74"/>
      <c r="V132" s="74"/>
      <c r="W132" s="74"/>
      <c r="X132" s="74"/>
      <c r="Y132" s="74"/>
      <c r="Z132" s="74"/>
    </row>
    <row r="133">
      <c r="A133" s="74"/>
      <c r="B133" s="73"/>
      <c r="C133" s="73"/>
      <c r="D133" s="73"/>
      <c r="E133" s="73"/>
      <c r="F133" s="74"/>
      <c r="G133" s="74"/>
      <c r="H133" s="74"/>
      <c r="I133" s="74"/>
      <c r="J133" s="74"/>
      <c r="K133" s="74"/>
      <c r="L133" s="74"/>
      <c r="M133" s="74"/>
      <c r="N133" s="74"/>
      <c r="O133" s="74"/>
      <c r="P133" s="74"/>
      <c r="Q133" s="74"/>
      <c r="R133" s="74"/>
      <c r="S133" s="74"/>
      <c r="T133" s="74"/>
      <c r="U133" s="74"/>
      <c r="V133" s="74"/>
      <c r="W133" s="74"/>
      <c r="X133" s="74"/>
      <c r="Y133" s="74"/>
      <c r="Z133" s="74"/>
    </row>
    <row r="134">
      <c r="A134" s="74"/>
      <c r="B134" s="73"/>
      <c r="C134" s="73"/>
      <c r="D134" s="73"/>
      <c r="E134" s="73"/>
      <c r="F134" s="74"/>
      <c r="G134" s="74"/>
      <c r="H134" s="74"/>
      <c r="I134" s="74"/>
      <c r="J134" s="74"/>
      <c r="K134" s="74"/>
      <c r="L134" s="74"/>
      <c r="M134" s="74"/>
      <c r="N134" s="74"/>
      <c r="O134" s="74"/>
      <c r="P134" s="74"/>
      <c r="Q134" s="74"/>
      <c r="R134" s="74"/>
      <c r="S134" s="74"/>
      <c r="T134" s="74"/>
      <c r="U134" s="74"/>
      <c r="V134" s="74"/>
      <c r="W134" s="74"/>
      <c r="X134" s="74"/>
      <c r="Y134" s="74"/>
      <c r="Z134" s="74"/>
    </row>
    <row r="135">
      <c r="A135" s="74"/>
      <c r="B135" s="73"/>
      <c r="C135" s="73"/>
      <c r="D135" s="73"/>
      <c r="E135" s="73"/>
      <c r="F135" s="74"/>
      <c r="G135" s="74"/>
      <c r="H135" s="74"/>
      <c r="I135" s="74"/>
      <c r="J135" s="74"/>
      <c r="K135" s="74"/>
      <c r="L135" s="74"/>
      <c r="M135" s="74"/>
      <c r="N135" s="74"/>
      <c r="O135" s="74"/>
      <c r="P135" s="74"/>
      <c r="Q135" s="74"/>
      <c r="R135" s="74"/>
      <c r="S135" s="74"/>
      <c r="T135" s="74"/>
      <c r="U135" s="74"/>
      <c r="V135" s="74"/>
      <c r="W135" s="74"/>
      <c r="X135" s="74"/>
      <c r="Y135" s="74"/>
      <c r="Z135" s="74"/>
    </row>
    <row r="136">
      <c r="A136" s="74"/>
      <c r="B136" s="73"/>
      <c r="C136" s="73"/>
      <c r="D136" s="73"/>
      <c r="E136" s="73"/>
      <c r="F136" s="74"/>
      <c r="G136" s="74"/>
      <c r="H136" s="74"/>
      <c r="I136" s="74"/>
      <c r="J136" s="74"/>
      <c r="K136" s="74"/>
      <c r="L136" s="74"/>
      <c r="M136" s="74"/>
      <c r="N136" s="74"/>
      <c r="O136" s="74"/>
      <c r="P136" s="74"/>
      <c r="Q136" s="74"/>
      <c r="R136" s="74"/>
      <c r="S136" s="74"/>
      <c r="T136" s="74"/>
      <c r="U136" s="74"/>
      <c r="V136" s="74"/>
      <c r="W136" s="74"/>
      <c r="X136" s="74"/>
      <c r="Y136" s="74"/>
      <c r="Z136" s="74"/>
    </row>
    <row r="137">
      <c r="A137" s="74"/>
      <c r="B137" s="73"/>
      <c r="C137" s="73"/>
      <c r="D137" s="73"/>
      <c r="E137" s="73"/>
      <c r="F137" s="74"/>
      <c r="G137" s="74"/>
      <c r="H137" s="74"/>
      <c r="I137" s="74"/>
      <c r="J137" s="74"/>
      <c r="K137" s="74"/>
      <c r="L137" s="74"/>
      <c r="M137" s="74"/>
      <c r="N137" s="74"/>
      <c r="O137" s="74"/>
      <c r="P137" s="74"/>
      <c r="Q137" s="74"/>
      <c r="R137" s="74"/>
      <c r="S137" s="74"/>
      <c r="T137" s="74"/>
      <c r="U137" s="74"/>
      <c r="V137" s="74"/>
      <c r="W137" s="74"/>
      <c r="X137" s="74"/>
      <c r="Y137" s="74"/>
      <c r="Z137" s="74"/>
    </row>
    <row r="138">
      <c r="A138" s="74"/>
      <c r="B138" s="73"/>
      <c r="C138" s="73"/>
      <c r="D138" s="73"/>
      <c r="E138" s="73"/>
      <c r="F138" s="74"/>
      <c r="G138" s="74"/>
      <c r="H138" s="74"/>
      <c r="I138" s="74"/>
      <c r="J138" s="74"/>
      <c r="K138" s="74"/>
      <c r="L138" s="74"/>
      <c r="M138" s="74"/>
      <c r="N138" s="74"/>
      <c r="O138" s="74"/>
      <c r="P138" s="74"/>
      <c r="Q138" s="74"/>
      <c r="R138" s="74"/>
      <c r="S138" s="74"/>
      <c r="T138" s="74"/>
      <c r="U138" s="74"/>
      <c r="V138" s="74"/>
      <c r="W138" s="74"/>
      <c r="X138" s="74"/>
      <c r="Y138" s="74"/>
      <c r="Z138" s="74"/>
    </row>
    <row r="139">
      <c r="A139" s="74"/>
      <c r="B139" s="73"/>
      <c r="C139" s="73"/>
      <c r="D139" s="73"/>
      <c r="E139" s="73"/>
      <c r="F139" s="74"/>
      <c r="G139" s="74"/>
      <c r="H139" s="74"/>
      <c r="I139" s="74"/>
      <c r="J139" s="74"/>
      <c r="K139" s="74"/>
      <c r="L139" s="74"/>
      <c r="M139" s="74"/>
      <c r="N139" s="74"/>
      <c r="O139" s="74"/>
      <c r="P139" s="74"/>
      <c r="Q139" s="74"/>
      <c r="R139" s="74"/>
      <c r="S139" s="74"/>
      <c r="T139" s="74"/>
      <c r="U139" s="74"/>
      <c r="V139" s="74"/>
      <c r="W139" s="74"/>
      <c r="X139" s="74"/>
      <c r="Y139" s="74"/>
      <c r="Z139" s="74"/>
    </row>
    <row r="140">
      <c r="A140" s="74"/>
      <c r="B140" s="73"/>
      <c r="C140" s="73"/>
      <c r="D140" s="73"/>
      <c r="E140" s="73"/>
      <c r="F140" s="74"/>
      <c r="G140" s="74"/>
      <c r="H140" s="74"/>
      <c r="I140" s="74"/>
      <c r="J140" s="74"/>
      <c r="K140" s="74"/>
      <c r="L140" s="74"/>
      <c r="M140" s="74"/>
      <c r="N140" s="74"/>
      <c r="O140" s="74"/>
      <c r="P140" s="74"/>
      <c r="Q140" s="74"/>
      <c r="R140" s="74"/>
      <c r="S140" s="74"/>
      <c r="T140" s="74"/>
      <c r="U140" s="74"/>
      <c r="V140" s="74"/>
      <c r="W140" s="74"/>
      <c r="X140" s="74"/>
      <c r="Y140" s="74"/>
      <c r="Z140" s="74"/>
    </row>
    <row r="141">
      <c r="A141" s="74"/>
      <c r="B141" s="73"/>
      <c r="C141" s="73"/>
      <c r="D141" s="73"/>
      <c r="E141" s="73"/>
      <c r="F141" s="74"/>
      <c r="G141" s="74"/>
      <c r="H141" s="74"/>
      <c r="I141" s="74"/>
      <c r="J141" s="74"/>
      <c r="K141" s="74"/>
      <c r="L141" s="74"/>
      <c r="M141" s="74"/>
      <c r="N141" s="74"/>
      <c r="O141" s="74"/>
      <c r="P141" s="74"/>
      <c r="Q141" s="74"/>
      <c r="R141" s="74"/>
      <c r="S141" s="74"/>
      <c r="T141" s="74"/>
      <c r="U141" s="74"/>
      <c r="V141" s="74"/>
      <c r="W141" s="74"/>
      <c r="X141" s="74"/>
      <c r="Y141" s="74"/>
      <c r="Z141" s="74"/>
    </row>
    <row r="142">
      <c r="A142" s="74"/>
      <c r="B142" s="73"/>
      <c r="C142" s="73"/>
      <c r="D142" s="73"/>
      <c r="E142" s="73"/>
      <c r="F142" s="74"/>
      <c r="G142" s="74"/>
      <c r="H142" s="74"/>
      <c r="I142" s="74"/>
      <c r="J142" s="74"/>
      <c r="K142" s="74"/>
      <c r="L142" s="74"/>
      <c r="M142" s="74"/>
      <c r="N142" s="74"/>
      <c r="O142" s="74"/>
      <c r="P142" s="74"/>
      <c r="Q142" s="74"/>
      <c r="R142" s="74"/>
      <c r="S142" s="74"/>
      <c r="T142" s="74"/>
      <c r="U142" s="74"/>
      <c r="V142" s="74"/>
      <c r="W142" s="74"/>
      <c r="X142" s="74"/>
      <c r="Y142" s="74"/>
      <c r="Z142" s="74"/>
    </row>
    <row r="143">
      <c r="A143" s="74"/>
      <c r="B143" s="73"/>
      <c r="C143" s="73"/>
      <c r="D143" s="73"/>
      <c r="E143" s="73"/>
      <c r="F143" s="74"/>
      <c r="G143" s="74"/>
      <c r="H143" s="74"/>
      <c r="I143" s="74"/>
      <c r="J143" s="74"/>
      <c r="K143" s="74"/>
      <c r="L143" s="74"/>
      <c r="M143" s="74"/>
      <c r="N143" s="74"/>
      <c r="O143" s="74"/>
      <c r="P143" s="74"/>
      <c r="Q143" s="74"/>
      <c r="R143" s="74"/>
      <c r="S143" s="74"/>
      <c r="T143" s="74"/>
      <c r="U143" s="74"/>
      <c r="V143" s="74"/>
      <c r="W143" s="74"/>
      <c r="X143" s="74"/>
      <c r="Y143" s="74"/>
      <c r="Z143" s="74"/>
    </row>
    <row r="144">
      <c r="A144" s="74"/>
      <c r="B144" s="73"/>
      <c r="C144" s="73"/>
      <c r="D144" s="73"/>
      <c r="E144" s="73"/>
      <c r="F144" s="74"/>
      <c r="G144" s="74"/>
      <c r="H144" s="74"/>
      <c r="I144" s="74"/>
      <c r="J144" s="74"/>
      <c r="K144" s="74"/>
      <c r="L144" s="74"/>
      <c r="M144" s="74"/>
      <c r="N144" s="74"/>
      <c r="O144" s="74"/>
      <c r="P144" s="74"/>
      <c r="Q144" s="74"/>
      <c r="R144" s="74"/>
      <c r="S144" s="74"/>
      <c r="T144" s="74"/>
      <c r="U144" s="74"/>
      <c r="V144" s="74"/>
      <c r="W144" s="74"/>
      <c r="X144" s="74"/>
      <c r="Y144" s="74"/>
      <c r="Z144" s="74"/>
    </row>
    <row r="145">
      <c r="A145" s="74"/>
      <c r="B145" s="73"/>
      <c r="C145" s="73"/>
      <c r="D145" s="73"/>
      <c r="E145" s="73"/>
      <c r="F145" s="74"/>
      <c r="G145" s="74"/>
      <c r="H145" s="74"/>
      <c r="I145" s="74"/>
      <c r="J145" s="74"/>
      <c r="K145" s="74"/>
      <c r="L145" s="74"/>
      <c r="M145" s="74"/>
      <c r="N145" s="74"/>
      <c r="O145" s="74"/>
      <c r="P145" s="74"/>
      <c r="Q145" s="74"/>
      <c r="R145" s="74"/>
      <c r="S145" s="74"/>
      <c r="T145" s="74"/>
      <c r="U145" s="74"/>
      <c r="V145" s="74"/>
      <c r="W145" s="74"/>
      <c r="X145" s="74"/>
      <c r="Y145" s="74"/>
      <c r="Z145" s="74"/>
    </row>
    <row r="146">
      <c r="A146" s="74"/>
      <c r="B146" s="73"/>
      <c r="C146" s="73"/>
      <c r="D146" s="73"/>
      <c r="E146" s="73"/>
      <c r="F146" s="74"/>
      <c r="G146" s="74"/>
      <c r="H146" s="74"/>
      <c r="I146" s="74"/>
      <c r="J146" s="74"/>
      <c r="K146" s="74"/>
      <c r="L146" s="74"/>
      <c r="M146" s="74"/>
      <c r="N146" s="74"/>
      <c r="O146" s="74"/>
      <c r="P146" s="74"/>
      <c r="Q146" s="74"/>
      <c r="R146" s="74"/>
      <c r="S146" s="74"/>
      <c r="T146" s="74"/>
      <c r="U146" s="74"/>
      <c r="V146" s="74"/>
      <c r="W146" s="74"/>
      <c r="X146" s="74"/>
      <c r="Y146" s="74"/>
      <c r="Z146" s="74"/>
    </row>
    <row r="147">
      <c r="A147" s="74"/>
      <c r="B147" s="73"/>
      <c r="C147" s="73"/>
      <c r="D147" s="73"/>
      <c r="E147" s="73"/>
      <c r="F147" s="74"/>
      <c r="G147" s="74"/>
      <c r="H147" s="74"/>
      <c r="I147" s="74"/>
      <c r="J147" s="74"/>
      <c r="K147" s="74"/>
      <c r="L147" s="74"/>
      <c r="M147" s="74"/>
      <c r="N147" s="74"/>
      <c r="O147" s="74"/>
      <c r="P147" s="74"/>
      <c r="Q147" s="74"/>
      <c r="R147" s="74"/>
      <c r="S147" s="74"/>
      <c r="T147" s="74"/>
      <c r="U147" s="74"/>
      <c r="V147" s="74"/>
      <c r="W147" s="74"/>
      <c r="X147" s="74"/>
      <c r="Y147" s="74"/>
      <c r="Z147" s="74"/>
    </row>
    <row r="148">
      <c r="A148" s="74"/>
      <c r="B148" s="73"/>
      <c r="C148" s="73"/>
      <c r="D148" s="73"/>
      <c r="E148" s="73"/>
      <c r="F148" s="74"/>
      <c r="G148" s="74"/>
      <c r="H148" s="74"/>
      <c r="I148" s="74"/>
      <c r="J148" s="74"/>
      <c r="K148" s="74"/>
      <c r="L148" s="74"/>
      <c r="M148" s="74"/>
      <c r="N148" s="74"/>
      <c r="O148" s="74"/>
      <c r="P148" s="74"/>
      <c r="Q148" s="74"/>
      <c r="R148" s="74"/>
      <c r="S148" s="74"/>
      <c r="T148" s="74"/>
      <c r="U148" s="74"/>
      <c r="V148" s="74"/>
      <c r="W148" s="74"/>
      <c r="X148" s="74"/>
      <c r="Y148" s="74"/>
      <c r="Z148" s="74"/>
    </row>
    <row r="149">
      <c r="A149" s="74"/>
      <c r="B149" s="73"/>
      <c r="C149" s="73"/>
      <c r="D149" s="73"/>
      <c r="E149" s="73"/>
      <c r="F149" s="74"/>
      <c r="G149" s="74"/>
      <c r="H149" s="74"/>
      <c r="I149" s="74"/>
      <c r="J149" s="74"/>
      <c r="K149" s="74"/>
      <c r="L149" s="74"/>
      <c r="M149" s="74"/>
      <c r="N149" s="74"/>
      <c r="O149" s="74"/>
      <c r="P149" s="74"/>
      <c r="Q149" s="74"/>
      <c r="R149" s="74"/>
      <c r="S149" s="74"/>
      <c r="T149" s="74"/>
      <c r="U149" s="74"/>
      <c r="V149" s="74"/>
      <c r="W149" s="74"/>
      <c r="X149" s="74"/>
      <c r="Y149" s="74"/>
      <c r="Z149" s="74"/>
    </row>
    <row r="150">
      <c r="A150" s="74"/>
      <c r="B150" s="73"/>
      <c r="C150" s="73"/>
      <c r="D150" s="73"/>
      <c r="E150" s="73"/>
      <c r="F150" s="74"/>
      <c r="G150" s="74"/>
      <c r="H150" s="74"/>
      <c r="I150" s="74"/>
      <c r="J150" s="74"/>
      <c r="K150" s="74"/>
      <c r="L150" s="74"/>
      <c r="M150" s="74"/>
      <c r="N150" s="74"/>
      <c r="O150" s="74"/>
      <c r="P150" s="74"/>
      <c r="Q150" s="74"/>
      <c r="R150" s="74"/>
      <c r="S150" s="74"/>
      <c r="T150" s="74"/>
      <c r="U150" s="74"/>
      <c r="V150" s="74"/>
      <c r="W150" s="74"/>
      <c r="X150" s="74"/>
      <c r="Y150" s="74"/>
      <c r="Z150" s="74"/>
    </row>
    <row r="151">
      <c r="A151" s="74"/>
      <c r="B151" s="73"/>
      <c r="C151" s="73"/>
      <c r="D151" s="73"/>
      <c r="E151" s="73"/>
      <c r="F151" s="74"/>
      <c r="G151" s="74"/>
      <c r="H151" s="74"/>
      <c r="I151" s="74"/>
      <c r="J151" s="74"/>
      <c r="K151" s="74"/>
      <c r="L151" s="74"/>
      <c r="M151" s="74"/>
      <c r="N151" s="74"/>
      <c r="O151" s="74"/>
      <c r="P151" s="74"/>
      <c r="Q151" s="74"/>
      <c r="R151" s="74"/>
      <c r="S151" s="74"/>
      <c r="T151" s="74"/>
      <c r="U151" s="74"/>
      <c r="V151" s="74"/>
      <c r="W151" s="74"/>
      <c r="X151" s="74"/>
      <c r="Y151" s="74"/>
      <c r="Z151" s="74"/>
    </row>
    <row r="152">
      <c r="A152" s="74"/>
      <c r="B152" s="73"/>
      <c r="C152" s="73"/>
      <c r="D152" s="73"/>
      <c r="E152" s="73"/>
      <c r="F152" s="74"/>
      <c r="G152" s="74"/>
      <c r="H152" s="74"/>
      <c r="I152" s="74"/>
      <c r="J152" s="74"/>
      <c r="K152" s="74"/>
      <c r="L152" s="74"/>
      <c r="M152" s="74"/>
      <c r="N152" s="74"/>
      <c r="O152" s="74"/>
      <c r="P152" s="74"/>
      <c r="Q152" s="74"/>
      <c r="R152" s="74"/>
      <c r="S152" s="74"/>
      <c r="T152" s="74"/>
      <c r="U152" s="74"/>
      <c r="V152" s="74"/>
      <c r="W152" s="74"/>
      <c r="X152" s="74"/>
      <c r="Y152" s="74"/>
      <c r="Z152" s="74"/>
    </row>
    <row r="153">
      <c r="A153" s="74"/>
      <c r="B153" s="73"/>
      <c r="C153" s="73"/>
      <c r="D153" s="73"/>
      <c r="E153" s="73"/>
      <c r="F153" s="74"/>
      <c r="G153" s="74"/>
      <c r="H153" s="74"/>
      <c r="I153" s="74"/>
      <c r="J153" s="74"/>
      <c r="K153" s="74"/>
      <c r="L153" s="74"/>
      <c r="M153" s="74"/>
      <c r="N153" s="74"/>
      <c r="O153" s="74"/>
      <c r="P153" s="74"/>
      <c r="Q153" s="74"/>
      <c r="R153" s="74"/>
      <c r="S153" s="74"/>
      <c r="T153" s="74"/>
      <c r="U153" s="74"/>
      <c r="V153" s="74"/>
      <c r="W153" s="74"/>
      <c r="X153" s="74"/>
      <c r="Y153" s="74"/>
      <c r="Z153" s="74"/>
    </row>
    <row r="154">
      <c r="A154" s="74"/>
      <c r="B154" s="73"/>
      <c r="C154" s="73"/>
      <c r="D154" s="73"/>
      <c r="E154" s="73"/>
      <c r="F154" s="74"/>
      <c r="G154" s="74"/>
      <c r="H154" s="74"/>
      <c r="I154" s="74"/>
      <c r="J154" s="74"/>
      <c r="K154" s="74"/>
      <c r="L154" s="74"/>
      <c r="M154" s="74"/>
      <c r="N154" s="74"/>
      <c r="O154" s="74"/>
      <c r="P154" s="74"/>
      <c r="Q154" s="74"/>
      <c r="R154" s="74"/>
      <c r="S154" s="74"/>
      <c r="T154" s="74"/>
      <c r="U154" s="74"/>
      <c r="V154" s="74"/>
      <c r="W154" s="74"/>
      <c r="X154" s="74"/>
      <c r="Y154" s="74"/>
      <c r="Z154" s="74"/>
    </row>
    <row r="155">
      <c r="A155" s="74"/>
      <c r="B155" s="73"/>
      <c r="C155" s="73"/>
      <c r="D155" s="73"/>
      <c r="E155" s="73"/>
      <c r="F155" s="74"/>
      <c r="G155" s="74"/>
      <c r="H155" s="74"/>
      <c r="I155" s="74"/>
      <c r="J155" s="74"/>
      <c r="K155" s="74"/>
      <c r="L155" s="74"/>
      <c r="M155" s="74"/>
      <c r="N155" s="74"/>
      <c r="O155" s="74"/>
      <c r="P155" s="74"/>
      <c r="Q155" s="74"/>
      <c r="R155" s="74"/>
      <c r="S155" s="74"/>
      <c r="T155" s="74"/>
      <c r="U155" s="74"/>
      <c r="V155" s="74"/>
      <c r="W155" s="74"/>
      <c r="X155" s="74"/>
      <c r="Y155" s="74"/>
      <c r="Z155" s="74"/>
    </row>
    <row r="156">
      <c r="A156" s="74"/>
      <c r="B156" s="73"/>
      <c r="C156" s="73"/>
      <c r="D156" s="73"/>
      <c r="E156" s="73"/>
      <c r="F156" s="74"/>
      <c r="G156" s="74"/>
      <c r="H156" s="74"/>
      <c r="I156" s="74"/>
      <c r="J156" s="74"/>
      <c r="K156" s="74"/>
      <c r="L156" s="74"/>
      <c r="M156" s="74"/>
      <c r="N156" s="74"/>
      <c r="O156" s="74"/>
      <c r="P156" s="74"/>
      <c r="Q156" s="74"/>
      <c r="R156" s="74"/>
      <c r="S156" s="74"/>
      <c r="T156" s="74"/>
      <c r="U156" s="74"/>
      <c r="V156" s="74"/>
      <c r="W156" s="74"/>
      <c r="X156" s="74"/>
      <c r="Y156" s="74"/>
      <c r="Z156" s="74"/>
    </row>
    <row r="157">
      <c r="A157" s="74"/>
      <c r="B157" s="73"/>
      <c r="C157" s="73"/>
      <c r="D157" s="73"/>
      <c r="E157" s="73"/>
      <c r="F157" s="74"/>
      <c r="G157" s="74"/>
      <c r="H157" s="74"/>
      <c r="I157" s="74"/>
      <c r="J157" s="74"/>
      <c r="K157" s="74"/>
      <c r="L157" s="74"/>
      <c r="M157" s="74"/>
      <c r="N157" s="74"/>
      <c r="O157" s="74"/>
      <c r="P157" s="74"/>
      <c r="Q157" s="74"/>
      <c r="R157" s="74"/>
      <c r="S157" s="74"/>
      <c r="T157" s="74"/>
      <c r="U157" s="74"/>
      <c r="V157" s="74"/>
      <c r="W157" s="74"/>
      <c r="X157" s="74"/>
      <c r="Y157" s="74"/>
      <c r="Z157" s="74"/>
    </row>
    <row r="158">
      <c r="A158" s="74"/>
      <c r="B158" s="73"/>
      <c r="C158" s="73"/>
      <c r="D158" s="73"/>
      <c r="E158" s="73"/>
      <c r="F158" s="74"/>
      <c r="G158" s="74"/>
      <c r="H158" s="74"/>
      <c r="I158" s="74"/>
      <c r="J158" s="74"/>
      <c r="K158" s="74"/>
      <c r="L158" s="74"/>
      <c r="M158" s="74"/>
      <c r="N158" s="74"/>
      <c r="O158" s="74"/>
      <c r="P158" s="74"/>
      <c r="Q158" s="74"/>
      <c r="R158" s="74"/>
      <c r="S158" s="74"/>
      <c r="T158" s="74"/>
      <c r="U158" s="74"/>
      <c r="V158" s="74"/>
      <c r="W158" s="74"/>
      <c r="X158" s="74"/>
      <c r="Y158" s="74"/>
      <c r="Z158" s="74"/>
    </row>
    <row r="159">
      <c r="A159" s="74"/>
      <c r="B159" s="73"/>
      <c r="C159" s="73"/>
      <c r="D159" s="73"/>
      <c r="E159" s="73"/>
      <c r="F159" s="74"/>
      <c r="G159" s="74"/>
      <c r="H159" s="74"/>
      <c r="I159" s="74"/>
      <c r="J159" s="74"/>
      <c r="K159" s="74"/>
      <c r="L159" s="74"/>
      <c r="M159" s="74"/>
      <c r="N159" s="74"/>
      <c r="O159" s="74"/>
      <c r="P159" s="74"/>
      <c r="Q159" s="74"/>
      <c r="R159" s="74"/>
      <c r="S159" s="74"/>
      <c r="T159" s="74"/>
      <c r="U159" s="74"/>
      <c r="V159" s="74"/>
      <c r="W159" s="74"/>
      <c r="X159" s="74"/>
      <c r="Y159" s="74"/>
      <c r="Z159" s="74"/>
    </row>
    <row r="160">
      <c r="A160" s="74"/>
      <c r="B160" s="73"/>
      <c r="C160" s="73"/>
      <c r="D160" s="73"/>
      <c r="E160" s="73"/>
      <c r="F160" s="74"/>
      <c r="G160" s="74"/>
      <c r="H160" s="74"/>
      <c r="I160" s="74"/>
      <c r="J160" s="74"/>
      <c r="K160" s="74"/>
      <c r="L160" s="74"/>
      <c r="M160" s="74"/>
      <c r="N160" s="74"/>
      <c r="O160" s="74"/>
      <c r="P160" s="74"/>
      <c r="Q160" s="74"/>
      <c r="R160" s="74"/>
      <c r="S160" s="74"/>
      <c r="T160" s="74"/>
      <c r="U160" s="74"/>
      <c r="V160" s="74"/>
      <c r="W160" s="74"/>
      <c r="X160" s="74"/>
      <c r="Y160" s="74"/>
      <c r="Z160" s="74"/>
    </row>
    <row r="161">
      <c r="A161" s="74"/>
      <c r="B161" s="73"/>
      <c r="C161" s="73"/>
      <c r="D161" s="73"/>
      <c r="E161" s="73"/>
      <c r="F161" s="74"/>
      <c r="G161" s="74"/>
      <c r="H161" s="74"/>
      <c r="I161" s="74"/>
      <c r="J161" s="74"/>
      <c r="K161" s="74"/>
      <c r="L161" s="74"/>
      <c r="M161" s="74"/>
      <c r="N161" s="74"/>
      <c r="O161" s="74"/>
      <c r="P161" s="74"/>
      <c r="Q161" s="74"/>
      <c r="R161" s="74"/>
      <c r="S161" s="74"/>
      <c r="T161" s="74"/>
      <c r="U161" s="74"/>
      <c r="V161" s="74"/>
      <c r="W161" s="74"/>
      <c r="X161" s="74"/>
      <c r="Y161" s="74"/>
      <c r="Z161" s="74"/>
    </row>
    <row r="162">
      <c r="A162" s="74"/>
      <c r="B162" s="73"/>
      <c r="C162" s="73"/>
      <c r="D162" s="73"/>
      <c r="E162" s="73"/>
      <c r="F162" s="74"/>
      <c r="G162" s="74"/>
      <c r="H162" s="74"/>
      <c r="I162" s="74"/>
      <c r="J162" s="74"/>
      <c r="K162" s="74"/>
      <c r="L162" s="74"/>
      <c r="M162" s="74"/>
      <c r="N162" s="74"/>
      <c r="O162" s="74"/>
      <c r="P162" s="74"/>
      <c r="Q162" s="74"/>
      <c r="R162" s="74"/>
      <c r="S162" s="74"/>
      <c r="T162" s="74"/>
      <c r="U162" s="74"/>
      <c r="V162" s="74"/>
      <c r="W162" s="74"/>
      <c r="X162" s="74"/>
      <c r="Y162" s="74"/>
      <c r="Z162" s="74"/>
    </row>
    <row r="163">
      <c r="A163" s="74"/>
      <c r="B163" s="73"/>
      <c r="C163" s="73"/>
      <c r="D163" s="73"/>
      <c r="E163" s="73"/>
      <c r="F163" s="74"/>
      <c r="G163" s="74"/>
      <c r="H163" s="74"/>
      <c r="I163" s="74"/>
      <c r="J163" s="74"/>
      <c r="K163" s="74"/>
      <c r="L163" s="74"/>
      <c r="M163" s="74"/>
      <c r="N163" s="74"/>
      <c r="O163" s="74"/>
      <c r="P163" s="74"/>
      <c r="Q163" s="74"/>
      <c r="R163" s="74"/>
      <c r="S163" s="74"/>
      <c r="T163" s="74"/>
      <c r="U163" s="74"/>
      <c r="V163" s="74"/>
      <c r="W163" s="74"/>
      <c r="X163" s="74"/>
      <c r="Y163" s="74"/>
      <c r="Z163" s="74"/>
    </row>
    <row r="164">
      <c r="A164" s="74"/>
      <c r="B164" s="73"/>
      <c r="C164" s="73"/>
      <c r="D164" s="73"/>
      <c r="E164" s="73"/>
      <c r="F164" s="74"/>
      <c r="G164" s="74"/>
      <c r="H164" s="74"/>
      <c r="I164" s="74"/>
      <c r="J164" s="74"/>
      <c r="K164" s="74"/>
      <c r="L164" s="74"/>
      <c r="M164" s="74"/>
      <c r="N164" s="74"/>
      <c r="O164" s="74"/>
      <c r="P164" s="74"/>
      <c r="Q164" s="74"/>
      <c r="R164" s="74"/>
      <c r="S164" s="74"/>
      <c r="T164" s="74"/>
      <c r="U164" s="74"/>
      <c r="V164" s="74"/>
      <c r="W164" s="74"/>
      <c r="X164" s="74"/>
      <c r="Y164" s="74"/>
      <c r="Z164" s="74"/>
    </row>
    <row r="165">
      <c r="A165" s="74"/>
      <c r="B165" s="73"/>
      <c r="C165" s="73"/>
      <c r="D165" s="73"/>
      <c r="E165" s="73"/>
      <c r="F165" s="74"/>
      <c r="G165" s="74"/>
      <c r="H165" s="74"/>
      <c r="I165" s="74"/>
      <c r="J165" s="74"/>
      <c r="K165" s="74"/>
      <c r="L165" s="74"/>
      <c r="M165" s="74"/>
      <c r="N165" s="74"/>
      <c r="O165" s="74"/>
      <c r="P165" s="74"/>
      <c r="Q165" s="74"/>
      <c r="R165" s="74"/>
      <c r="S165" s="74"/>
      <c r="T165" s="74"/>
      <c r="U165" s="74"/>
      <c r="V165" s="74"/>
      <c r="W165" s="74"/>
      <c r="X165" s="74"/>
      <c r="Y165" s="74"/>
      <c r="Z165" s="74"/>
    </row>
    <row r="166">
      <c r="A166" s="74"/>
      <c r="B166" s="73"/>
      <c r="C166" s="73"/>
      <c r="D166" s="73"/>
      <c r="E166" s="73"/>
      <c r="F166" s="74"/>
      <c r="G166" s="74"/>
      <c r="H166" s="74"/>
      <c r="I166" s="74"/>
      <c r="J166" s="74"/>
      <c r="K166" s="74"/>
      <c r="L166" s="74"/>
      <c r="M166" s="74"/>
      <c r="N166" s="74"/>
      <c r="O166" s="74"/>
      <c r="P166" s="74"/>
      <c r="Q166" s="74"/>
      <c r="R166" s="74"/>
      <c r="S166" s="74"/>
      <c r="T166" s="74"/>
      <c r="U166" s="74"/>
      <c r="V166" s="74"/>
      <c r="W166" s="74"/>
      <c r="X166" s="74"/>
      <c r="Y166" s="74"/>
      <c r="Z166" s="74"/>
    </row>
    <row r="167">
      <c r="A167" s="74"/>
      <c r="B167" s="73"/>
      <c r="C167" s="73"/>
      <c r="D167" s="73"/>
      <c r="E167" s="73"/>
      <c r="F167" s="74"/>
      <c r="G167" s="74"/>
      <c r="H167" s="74"/>
      <c r="I167" s="74"/>
      <c r="J167" s="74"/>
      <c r="K167" s="74"/>
      <c r="L167" s="74"/>
      <c r="M167" s="74"/>
      <c r="N167" s="74"/>
      <c r="O167" s="74"/>
      <c r="P167" s="74"/>
      <c r="Q167" s="74"/>
      <c r="R167" s="74"/>
      <c r="S167" s="74"/>
      <c r="T167" s="74"/>
      <c r="U167" s="74"/>
      <c r="V167" s="74"/>
      <c r="W167" s="74"/>
      <c r="X167" s="74"/>
      <c r="Y167" s="74"/>
      <c r="Z167" s="74"/>
    </row>
    <row r="168">
      <c r="A168" s="74"/>
      <c r="B168" s="73"/>
      <c r="C168" s="73"/>
      <c r="D168" s="73"/>
      <c r="E168" s="73"/>
      <c r="F168" s="74"/>
      <c r="G168" s="74"/>
      <c r="H168" s="74"/>
      <c r="I168" s="74"/>
      <c r="J168" s="74"/>
      <c r="K168" s="74"/>
      <c r="L168" s="74"/>
      <c r="M168" s="74"/>
      <c r="N168" s="74"/>
      <c r="O168" s="74"/>
      <c r="P168" s="74"/>
      <c r="Q168" s="74"/>
      <c r="R168" s="74"/>
      <c r="S168" s="74"/>
      <c r="T168" s="74"/>
      <c r="U168" s="74"/>
      <c r="V168" s="74"/>
      <c r="W168" s="74"/>
      <c r="X168" s="74"/>
      <c r="Y168" s="74"/>
      <c r="Z168" s="74"/>
    </row>
    <row r="169">
      <c r="A169" s="74"/>
      <c r="B169" s="73"/>
      <c r="C169" s="73"/>
      <c r="D169" s="73"/>
      <c r="E169" s="73"/>
      <c r="F169" s="74"/>
      <c r="G169" s="74"/>
      <c r="H169" s="74"/>
      <c r="I169" s="74"/>
      <c r="J169" s="74"/>
      <c r="K169" s="74"/>
      <c r="L169" s="74"/>
      <c r="M169" s="74"/>
      <c r="N169" s="74"/>
      <c r="O169" s="74"/>
      <c r="P169" s="74"/>
      <c r="Q169" s="74"/>
      <c r="R169" s="74"/>
      <c r="S169" s="74"/>
      <c r="T169" s="74"/>
      <c r="U169" s="74"/>
      <c r="V169" s="74"/>
      <c r="W169" s="74"/>
      <c r="X169" s="74"/>
      <c r="Y169" s="74"/>
      <c r="Z169" s="74"/>
    </row>
    <row r="170">
      <c r="A170" s="74"/>
      <c r="B170" s="73"/>
      <c r="C170" s="73"/>
      <c r="D170" s="73"/>
      <c r="E170" s="73"/>
      <c r="F170" s="74"/>
      <c r="G170" s="74"/>
      <c r="H170" s="74"/>
      <c r="I170" s="74"/>
      <c r="J170" s="74"/>
      <c r="K170" s="74"/>
      <c r="L170" s="74"/>
      <c r="M170" s="74"/>
      <c r="N170" s="74"/>
      <c r="O170" s="74"/>
      <c r="P170" s="74"/>
      <c r="Q170" s="74"/>
      <c r="R170" s="74"/>
      <c r="S170" s="74"/>
      <c r="T170" s="74"/>
      <c r="U170" s="74"/>
      <c r="V170" s="74"/>
      <c r="W170" s="74"/>
      <c r="X170" s="74"/>
      <c r="Y170" s="74"/>
      <c r="Z170" s="74"/>
    </row>
    <row r="171">
      <c r="A171" s="74"/>
      <c r="B171" s="73"/>
      <c r="C171" s="73"/>
      <c r="D171" s="73"/>
      <c r="E171" s="73"/>
      <c r="F171" s="74"/>
      <c r="G171" s="74"/>
      <c r="H171" s="74"/>
      <c r="I171" s="74"/>
      <c r="J171" s="74"/>
      <c r="K171" s="74"/>
      <c r="L171" s="74"/>
      <c r="M171" s="74"/>
      <c r="N171" s="74"/>
      <c r="O171" s="74"/>
      <c r="P171" s="74"/>
      <c r="Q171" s="74"/>
      <c r="R171" s="74"/>
      <c r="S171" s="74"/>
      <c r="T171" s="74"/>
      <c r="U171" s="74"/>
      <c r="V171" s="74"/>
      <c r="W171" s="74"/>
      <c r="X171" s="74"/>
      <c r="Y171" s="74"/>
      <c r="Z171" s="74"/>
    </row>
    <row r="172">
      <c r="A172" s="74"/>
      <c r="B172" s="73"/>
      <c r="C172" s="73"/>
      <c r="D172" s="73"/>
      <c r="E172" s="73"/>
      <c r="F172" s="74"/>
      <c r="G172" s="74"/>
      <c r="H172" s="74"/>
      <c r="I172" s="74"/>
      <c r="J172" s="74"/>
      <c r="K172" s="74"/>
      <c r="L172" s="74"/>
      <c r="M172" s="74"/>
      <c r="N172" s="74"/>
      <c r="O172" s="74"/>
      <c r="P172" s="74"/>
      <c r="Q172" s="74"/>
      <c r="R172" s="74"/>
      <c r="S172" s="74"/>
      <c r="T172" s="74"/>
      <c r="U172" s="74"/>
      <c r="V172" s="74"/>
      <c r="W172" s="74"/>
      <c r="X172" s="74"/>
      <c r="Y172" s="74"/>
      <c r="Z172" s="74"/>
    </row>
    <row r="173">
      <c r="A173" s="74"/>
      <c r="B173" s="73"/>
      <c r="C173" s="73"/>
      <c r="D173" s="73"/>
      <c r="E173" s="73"/>
      <c r="F173" s="74"/>
      <c r="G173" s="74"/>
      <c r="H173" s="74"/>
      <c r="I173" s="74"/>
      <c r="J173" s="74"/>
      <c r="K173" s="74"/>
      <c r="L173" s="74"/>
      <c r="M173" s="74"/>
      <c r="N173" s="74"/>
      <c r="O173" s="74"/>
      <c r="P173" s="74"/>
      <c r="Q173" s="74"/>
      <c r="R173" s="74"/>
      <c r="S173" s="74"/>
      <c r="T173" s="74"/>
      <c r="U173" s="74"/>
      <c r="V173" s="74"/>
      <c r="W173" s="74"/>
      <c r="X173" s="74"/>
      <c r="Y173" s="74"/>
      <c r="Z173" s="74"/>
    </row>
    <row r="174">
      <c r="A174" s="74"/>
      <c r="B174" s="73"/>
      <c r="C174" s="73"/>
      <c r="D174" s="73"/>
      <c r="E174" s="73"/>
      <c r="F174" s="74"/>
      <c r="G174" s="74"/>
      <c r="H174" s="74"/>
      <c r="I174" s="74"/>
      <c r="J174" s="74"/>
      <c r="K174" s="74"/>
      <c r="L174" s="74"/>
      <c r="M174" s="74"/>
      <c r="N174" s="74"/>
      <c r="O174" s="74"/>
      <c r="P174" s="74"/>
      <c r="Q174" s="74"/>
      <c r="R174" s="74"/>
      <c r="S174" s="74"/>
      <c r="T174" s="74"/>
      <c r="U174" s="74"/>
      <c r="V174" s="74"/>
      <c r="W174" s="74"/>
      <c r="X174" s="74"/>
      <c r="Y174" s="74"/>
      <c r="Z174" s="74"/>
    </row>
    <row r="175">
      <c r="A175" s="74"/>
      <c r="B175" s="73"/>
      <c r="C175" s="73"/>
      <c r="D175" s="73"/>
      <c r="E175" s="73"/>
      <c r="F175" s="74"/>
      <c r="G175" s="74"/>
      <c r="H175" s="74"/>
      <c r="I175" s="74"/>
      <c r="J175" s="74"/>
      <c r="K175" s="74"/>
      <c r="L175" s="74"/>
      <c r="M175" s="74"/>
      <c r="N175" s="74"/>
      <c r="O175" s="74"/>
      <c r="P175" s="74"/>
      <c r="Q175" s="74"/>
      <c r="R175" s="74"/>
      <c r="S175" s="74"/>
      <c r="T175" s="74"/>
      <c r="U175" s="74"/>
      <c r="V175" s="74"/>
      <c r="W175" s="74"/>
      <c r="X175" s="74"/>
      <c r="Y175" s="74"/>
      <c r="Z175" s="74"/>
    </row>
    <row r="176">
      <c r="A176" s="74"/>
      <c r="B176" s="73"/>
      <c r="C176" s="73"/>
      <c r="D176" s="73"/>
      <c r="E176" s="73"/>
      <c r="F176" s="74"/>
      <c r="G176" s="74"/>
      <c r="H176" s="74"/>
      <c r="I176" s="74"/>
      <c r="J176" s="74"/>
      <c r="K176" s="74"/>
      <c r="L176" s="74"/>
      <c r="M176" s="74"/>
      <c r="N176" s="74"/>
      <c r="O176" s="74"/>
      <c r="P176" s="74"/>
      <c r="Q176" s="74"/>
      <c r="R176" s="74"/>
      <c r="S176" s="74"/>
      <c r="T176" s="74"/>
      <c r="U176" s="74"/>
      <c r="V176" s="74"/>
      <c r="W176" s="74"/>
      <c r="X176" s="74"/>
      <c r="Y176" s="74"/>
      <c r="Z176" s="74"/>
    </row>
    <row r="177">
      <c r="A177" s="74"/>
      <c r="B177" s="73"/>
      <c r="C177" s="73"/>
      <c r="D177" s="73"/>
      <c r="E177" s="73"/>
      <c r="F177" s="74"/>
      <c r="G177" s="74"/>
      <c r="H177" s="74"/>
      <c r="I177" s="74"/>
      <c r="J177" s="74"/>
      <c r="K177" s="74"/>
      <c r="L177" s="74"/>
      <c r="M177" s="74"/>
      <c r="N177" s="74"/>
      <c r="O177" s="74"/>
      <c r="P177" s="74"/>
      <c r="Q177" s="74"/>
      <c r="R177" s="74"/>
      <c r="S177" s="74"/>
      <c r="T177" s="74"/>
      <c r="U177" s="74"/>
      <c r="V177" s="74"/>
      <c r="W177" s="74"/>
      <c r="X177" s="74"/>
      <c r="Y177" s="74"/>
      <c r="Z177" s="74"/>
    </row>
    <row r="178">
      <c r="A178" s="74"/>
      <c r="B178" s="73"/>
      <c r="C178" s="73"/>
      <c r="D178" s="73"/>
      <c r="E178" s="73"/>
      <c r="F178" s="74"/>
      <c r="G178" s="74"/>
      <c r="H178" s="74"/>
      <c r="I178" s="74"/>
      <c r="J178" s="74"/>
      <c r="K178" s="74"/>
      <c r="L178" s="74"/>
      <c r="M178" s="74"/>
      <c r="N178" s="74"/>
      <c r="O178" s="74"/>
      <c r="P178" s="74"/>
      <c r="Q178" s="74"/>
      <c r="R178" s="74"/>
      <c r="S178" s="74"/>
      <c r="T178" s="74"/>
      <c r="U178" s="74"/>
      <c r="V178" s="74"/>
      <c r="W178" s="74"/>
      <c r="X178" s="74"/>
      <c r="Y178" s="74"/>
      <c r="Z178" s="74"/>
    </row>
    <row r="179">
      <c r="A179" s="74"/>
      <c r="B179" s="73"/>
      <c r="C179" s="73"/>
      <c r="D179" s="73"/>
      <c r="E179" s="73"/>
      <c r="F179" s="74"/>
      <c r="G179" s="74"/>
      <c r="H179" s="74"/>
      <c r="I179" s="74"/>
      <c r="J179" s="74"/>
      <c r="K179" s="74"/>
      <c r="L179" s="74"/>
      <c r="M179" s="74"/>
      <c r="N179" s="74"/>
      <c r="O179" s="74"/>
      <c r="P179" s="74"/>
      <c r="Q179" s="74"/>
      <c r="R179" s="74"/>
      <c r="S179" s="74"/>
      <c r="T179" s="74"/>
      <c r="U179" s="74"/>
      <c r="V179" s="74"/>
      <c r="W179" s="74"/>
      <c r="X179" s="74"/>
      <c r="Y179" s="74"/>
      <c r="Z179" s="74"/>
    </row>
    <row r="180">
      <c r="A180" s="74"/>
      <c r="B180" s="73"/>
      <c r="C180" s="73"/>
      <c r="D180" s="73"/>
      <c r="E180" s="73"/>
      <c r="F180" s="74"/>
      <c r="G180" s="74"/>
      <c r="H180" s="74"/>
      <c r="I180" s="74"/>
      <c r="J180" s="74"/>
      <c r="K180" s="74"/>
      <c r="L180" s="74"/>
      <c r="M180" s="74"/>
      <c r="N180" s="74"/>
      <c r="O180" s="74"/>
      <c r="P180" s="74"/>
      <c r="Q180" s="74"/>
      <c r="R180" s="74"/>
      <c r="S180" s="74"/>
      <c r="T180" s="74"/>
      <c r="U180" s="74"/>
      <c r="V180" s="74"/>
      <c r="W180" s="74"/>
      <c r="X180" s="74"/>
      <c r="Y180" s="74"/>
      <c r="Z180" s="74"/>
    </row>
    <row r="181">
      <c r="A181" s="74"/>
      <c r="B181" s="73"/>
      <c r="C181" s="73"/>
      <c r="D181" s="73"/>
      <c r="E181" s="73"/>
      <c r="F181" s="74"/>
      <c r="G181" s="74"/>
      <c r="H181" s="74"/>
      <c r="I181" s="74"/>
      <c r="J181" s="74"/>
      <c r="K181" s="74"/>
      <c r="L181" s="74"/>
      <c r="M181" s="74"/>
      <c r="N181" s="74"/>
      <c r="O181" s="74"/>
      <c r="P181" s="74"/>
      <c r="Q181" s="74"/>
      <c r="R181" s="74"/>
      <c r="S181" s="74"/>
      <c r="T181" s="74"/>
      <c r="U181" s="74"/>
      <c r="V181" s="74"/>
      <c r="W181" s="74"/>
      <c r="X181" s="74"/>
      <c r="Y181" s="74"/>
      <c r="Z181" s="74"/>
    </row>
    <row r="182">
      <c r="A182" s="74"/>
      <c r="B182" s="73"/>
      <c r="C182" s="73"/>
      <c r="D182" s="73"/>
      <c r="E182" s="73"/>
      <c r="F182" s="74"/>
      <c r="G182" s="74"/>
      <c r="H182" s="74"/>
      <c r="I182" s="74"/>
      <c r="J182" s="74"/>
      <c r="K182" s="74"/>
      <c r="L182" s="74"/>
      <c r="M182" s="74"/>
      <c r="N182" s="74"/>
      <c r="O182" s="74"/>
      <c r="P182" s="74"/>
      <c r="Q182" s="74"/>
      <c r="R182" s="74"/>
      <c r="S182" s="74"/>
      <c r="T182" s="74"/>
      <c r="U182" s="74"/>
      <c r="V182" s="74"/>
      <c r="W182" s="74"/>
      <c r="X182" s="74"/>
      <c r="Y182" s="74"/>
      <c r="Z182" s="74"/>
    </row>
    <row r="183">
      <c r="A183" s="74"/>
      <c r="B183" s="73"/>
      <c r="C183" s="73"/>
      <c r="D183" s="73"/>
      <c r="E183" s="73"/>
      <c r="F183" s="74"/>
      <c r="G183" s="74"/>
      <c r="H183" s="74"/>
      <c r="I183" s="74"/>
      <c r="J183" s="74"/>
      <c r="K183" s="74"/>
      <c r="L183" s="74"/>
      <c r="M183" s="74"/>
      <c r="N183" s="74"/>
      <c r="O183" s="74"/>
      <c r="P183" s="74"/>
      <c r="Q183" s="74"/>
      <c r="R183" s="74"/>
      <c r="S183" s="74"/>
      <c r="T183" s="74"/>
      <c r="U183" s="74"/>
      <c r="V183" s="74"/>
      <c r="W183" s="74"/>
      <c r="X183" s="74"/>
      <c r="Y183" s="74"/>
      <c r="Z183" s="74"/>
    </row>
    <row r="184">
      <c r="A184" s="74"/>
      <c r="B184" s="73"/>
      <c r="C184" s="73"/>
      <c r="D184" s="73"/>
      <c r="E184" s="73"/>
      <c r="F184" s="74"/>
      <c r="G184" s="74"/>
      <c r="H184" s="74"/>
      <c r="I184" s="74"/>
      <c r="J184" s="74"/>
      <c r="K184" s="74"/>
      <c r="L184" s="74"/>
      <c r="M184" s="74"/>
      <c r="N184" s="74"/>
      <c r="O184" s="74"/>
      <c r="P184" s="74"/>
      <c r="Q184" s="74"/>
      <c r="R184" s="74"/>
      <c r="S184" s="74"/>
      <c r="T184" s="74"/>
      <c r="U184" s="74"/>
      <c r="V184" s="74"/>
      <c r="W184" s="74"/>
      <c r="X184" s="74"/>
      <c r="Y184" s="74"/>
      <c r="Z184" s="74"/>
    </row>
    <row r="185">
      <c r="A185" s="74"/>
      <c r="B185" s="73"/>
      <c r="C185" s="73"/>
      <c r="D185" s="73"/>
      <c r="E185" s="73"/>
      <c r="F185" s="74"/>
      <c r="G185" s="74"/>
      <c r="H185" s="74"/>
      <c r="I185" s="74"/>
      <c r="J185" s="74"/>
      <c r="K185" s="74"/>
      <c r="L185" s="74"/>
      <c r="M185" s="74"/>
      <c r="N185" s="74"/>
      <c r="O185" s="74"/>
      <c r="P185" s="74"/>
      <c r="Q185" s="74"/>
      <c r="R185" s="74"/>
      <c r="S185" s="74"/>
      <c r="T185" s="74"/>
      <c r="U185" s="74"/>
      <c r="V185" s="74"/>
      <c r="W185" s="74"/>
      <c r="X185" s="74"/>
      <c r="Y185" s="74"/>
      <c r="Z185" s="74"/>
    </row>
    <row r="186">
      <c r="A186" s="74"/>
      <c r="B186" s="73"/>
      <c r="C186" s="73"/>
      <c r="D186" s="73"/>
      <c r="E186" s="73"/>
      <c r="F186" s="74"/>
      <c r="G186" s="74"/>
      <c r="H186" s="74"/>
      <c r="I186" s="74"/>
      <c r="J186" s="74"/>
      <c r="K186" s="74"/>
      <c r="L186" s="74"/>
      <c r="M186" s="74"/>
      <c r="N186" s="74"/>
      <c r="O186" s="74"/>
      <c r="P186" s="74"/>
      <c r="Q186" s="74"/>
      <c r="R186" s="74"/>
      <c r="S186" s="74"/>
      <c r="T186" s="74"/>
      <c r="U186" s="74"/>
      <c r="V186" s="74"/>
      <c r="W186" s="74"/>
      <c r="X186" s="74"/>
      <c r="Y186" s="74"/>
      <c r="Z186" s="74"/>
    </row>
    <row r="187">
      <c r="A187" s="74"/>
      <c r="B187" s="73"/>
      <c r="C187" s="73"/>
      <c r="D187" s="73"/>
      <c r="E187" s="73"/>
      <c r="F187" s="74"/>
      <c r="G187" s="74"/>
      <c r="H187" s="74"/>
      <c r="I187" s="74"/>
      <c r="J187" s="74"/>
      <c r="K187" s="74"/>
      <c r="L187" s="74"/>
      <c r="M187" s="74"/>
      <c r="N187" s="74"/>
      <c r="O187" s="74"/>
      <c r="P187" s="74"/>
      <c r="Q187" s="74"/>
      <c r="R187" s="74"/>
      <c r="S187" s="74"/>
      <c r="T187" s="74"/>
      <c r="U187" s="74"/>
      <c r="V187" s="74"/>
      <c r="W187" s="74"/>
      <c r="X187" s="74"/>
      <c r="Y187" s="74"/>
      <c r="Z187" s="74"/>
    </row>
    <row r="188">
      <c r="A188" s="74"/>
      <c r="B188" s="73"/>
      <c r="C188" s="73"/>
      <c r="D188" s="73"/>
      <c r="E188" s="73"/>
      <c r="F188" s="74"/>
      <c r="G188" s="74"/>
      <c r="H188" s="74"/>
      <c r="I188" s="74"/>
      <c r="J188" s="74"/>
      <c r="K188" s="74"/>
      <c r="L188" s="74"/>
      <c r="M188" s="74"/>
      <c r="N188" s="74"/>
      <c r="O188" s="74"/>
      <c r="P188" s="74"/>
      <c r="Q188" s="74"/>
      <c r="R188" s="74"/>
      <c r="S188" s="74"/>
      <c r="T188" s="74"/>
      <c r="U188" s="74"/>
      <c r="V188" s="74"/>
      <c r="W188" s="74"/>
      <c r="X188" s="74"/>
      <c r="Y188" s="74"/>
      <c r="Z188" s="74"/>
    </row>
    <row r="189">
      <c r="A189" s="74"/>
      <c r="B189" s="73"/>
      <c r="C189" s="73"/>
      <c r="D189" s="73"/>
      <c r="E189" s="73"/>
      <c r="F189" s="74"/>
      <c r="G189" s="74"/>
      <c r="H189" s="74"/>
      <c r="I189" s="74"/>
      <c r="J189" s="74"/>
      <c r="K189" s="74"/>
      <c r="L189" s="74"/>
      <c r="M189" s="74"/>
      <c r="N189" s="74"/>
      <c r="O189" s="74"/>
      <c r="P189" s="74"/>
      <c r="Q189" s="74"/>
      <c r="R189" s="74"/>
      <c r="S189" s="74"/>
      <c r="T189" s="74"/>
      <c r="U189" s="74"/>
      <c r="V189" s="74"/>
      <c r="W189" s="74"/>
      <c r="X189" s="74"/>
      <c r="Y189" s="74"/>
      <c r="Z189" s="74"/>
    </row>
    <row r="190">
      <c r="A190" s="74"/>
      <c r="B190" s="73"/>
      <c r="C190" s="73"/>
      <c r="D190" s="73"/>
      <c r="E190" s="73"/>
      <c r="F190" s="74"/>
      <c r="G190" s="74"/>
      <c r="H190" s="74"/>
      <c r="I190" s="74"/>
      <c r="J190" s="74"/>
      <c r="K190" s="74"/>
      <c r="L190" s="74"/>
      <c r="M190" s="74"/>
      <c r="N190" s="74"/>
      <c r="O190" s="74"/>
      <c r="P190" s="74"/>
      <c r="Q190" s="74"/>
      <c r="R190" s="74"/>
      <c r="S190" s="74"/>
      <c r="T190" s="74"/>
      <c r="U190" s="74"/>
      <c r="V190" s="74"/>
      <c r="W190" s="74"/>
      <c r="X190" s="74"/>
      <c r="Y190" s="74"/>
      <c r="Z190" s="74"/>
    </row>
    <row r="191">
      <c r="A191" s="74"/>
      <c r="B191" s="73"/>
      <c r="C191" s="73"/>
      <c r="D191" s="73"/>
      <c r="E191" s="73"/>
      <c r="F191" s="74"/>
      <c r="G191" s="74"/>
      <c r="H191" s="74"/>
      <c r="I191" s="74"/>
      <c r="J191" s="74"/>
      <c r="K191" s="74"/>
      <c r="L191" s="74"/>
      <c r="M191" s="74"/>
      <c r="N191" s="74"/>
      <c r="O191" s="74"/>
      <c r="P191" s="74"/>
      <c r="Q191" s="74"/>
      <c r="R191" s="74"/>
      <c r="S191" s="74"/>
      <c r="T191" s="74"/>
      <c r="U191" s="74"/>
      <c r="V191" s="74"/>
      <c r="W191" s="74"/>
      <c r="X191" s="74"/>
      <c r="Y191" s="74"/>
      <c r="Z191" s="74"/>
    </row>
    <row r="192">
      <c r="A192" s="74"/>
      <c r="B192" s="73"/>
      <c r="C192" s="73"/>
      <c r="D192" s="73"/>
      <c r="E192" s="73"/>
      <c r="F192" s="74"/>
      <c r="G192" s="74"/>
      <c r="H192" s="74"/>
      <c r="I192" s="74"/>
      <c r="J192" s="74"/>
      <c r="K192" s="74"/>
      <c r="L192" s="74"/>
      <c r="M192" s="74"/>
      <c r="N192" s="74"/>
      <c r="O192" s="74"/>
      <c r="P192" s="74"/>
      <c r="Q192" s="74"/>
      <c r="R192" s="74"/>
      <c r="S192" s="74"/>
      <c r="T192" s="74"/>
      <c r="U192" s="74"/>
      <c r="V192" s="74"/>
      <c r="W192" s="74"/>
      <c r="X192" s="74"/>
      <c r="Y192" s="74"/>
      <c r="Z192" s="74"/>
    </row>
    <row r="193">
      <c r="A193" s="74"/>
      <c r="B193" s="73"/>
      <c r="C193" s="73"/>
      <c r="D193" s="73"/>
      <c r="E193" s="73"/>
      <c r="F193" s="74"/>
      <c r="G193" s="74"/>
      <c r="H193" s="74"/>
      <c r="I193" s="74"/>
      <c r="J193" s="74"/>
      <c r="K193" s="74"/>
      <c r="L193" s="74"/>
      <c r="M193" s="74"/>
      <c r="N193" s="74"/>
      <c r="O193" s="74"/>
      <c r="P193" s="74"/>
      <c r="Q193" s="74"/>
      <c r="R193" s="74"/>
      <c r="S193" s="74"/>
      <c r="T193" s="74"/>
      <c r="U193" s="74"/>
      <c r="V193" s="74"/>
      <c r="W193" s="74"/>
      <c r="X193" s="74"/>
      <c r="Y193" s="74"/>
      <c r="Z193" s="74"/>
    </row>
    <row r="194">
      <c r="A194" s="74"/>
      <c r="B194" s="73"/>
      <c r="C194" s="73"/>
      <c r="D194" s="73"/>
      <c r="E194" s="73"/>
      <c r="F194" s="74"/>
      <c r="G194" s="74"/>
      <c r="H194" s="74"/>
      <c r="I194" s="74"/>
      <c r="J194" s="74"/>
      <c r="K194" s="74"/>
      <c r="L194" s="74"/>
      <c r="M194" s="74"/>
      <c r="N194" s="74"/>
      <c r="O194" s="74"/>
      <c r="P194" s="74"/>
      <c r="Q194" s="74"/>
      <c r="R194" s="74"/>
      <c r="S194" s="74"/>
      <c r="T194" s="74"/>
      <c r="U194" s="74"/>
      <c r="V194" s="74"/>
      <c r="W194" s="74"/>
      <c r="X194" s="74"/>
      <c r="Y194" s="74"/>
      <c r="Z194" s="74"/>
    </row>
    <row r="195">
      <c r="A195" s="74"/>
      <c r="B195" s="73"/>
      <c r="C195" s="73"/>
      <c r="D195" s="73"/>
      <c r="E195" s="73"/>
      <c r="F195" s="74"/>
      <c r="G195" s="74"/>
      <c r="H195" s="74"/>
      <c r="I195" s="74"/>
      <c r="J195" s="74"/>
      <c r="K195" s="74"/>
      <c r="L195" s="74"/>
      <c r="M195" s="74"/>
      <c r="N195" s="74"/>
      <c r="O195" s="74"/>
      <c r="P195" s="74"/>
      <c r="Q195" s="74"/>
      <c r="R195" s="74"/>
      <c r="S195" s="74"/>
      <c r="T195" s="74"/>
      <c r="U195" s="74"/>
      <c r="V195" s="74"/>
      <c r="W195" s="74"/>
      <c r="X195" s="74"/>
      <c r="Y195" s="74"/>
      <c r="Z195" s="74"/>
    </row>
    <row r="196">
      <c r="A196" s="74"/>
      <c r="B196" s="73"/>
      <c r="C196" s="73"/>
      <c r="D196" s="73"/>
      <c r="E196" s="73"/>
      <c r="F196" s="74"/>
      <c r="G196" s="74"/>
      <c r="H196" s="74"/>
      <c r="I196" s="74"/>
      <c r="J196" s="74"/>
      <c r="K196" s="74"/>
      <c r="L196" s="74"/>
      <c r="M196" s="74"/>
      <c r="N196" s="74"/>
      <c r="O196" s="74"/>
      <c r="P196" s="74"/>
      <c r="Q196" s="74"/>
      <c r="R196" s="74"/>
      <c r="S196" s="74"/>
      <c r="T196" s="74"/>
      <c r="U196" s="74"/>
      <c r="V196" s="74"/>
      <c r="W196" s="74"/>
      <c r="X196" s="74"/>
      <c r="Y196" s="74"/>
      <c r="Z196" s="74"/>
    </row>
    <row r="197">
      <c r="A197" s="74"/>
      <c r="B197" s="73"/>
      <c r="C197" s="73"/>
      <c r="D197" s="73"/>
      <c r="E197" s="73"/>
      <c r="F197" s="74"/>
      <c r="G197" s="74"/>
      <c r="H197" s="74"/>
      <c r="I197" s="74"/>
      <c r="J197" s="74"/>
      <c r="K197" s="74"/>
      <c r="L197" s="74"/>
      <c r="M197" s="74"/>
      <c r="N197" s="74"/>
      <c r="O197" s="74"/>
      <c r="P197" s="74"/>
      <c r="Q197" s="74"/>
      <c r="R197" s="74"/>
      <c r="S197" s="74"/>
      <c r="T197" s="74"/>
      <c r="U197" s="74"/>
      <c r="V197" s="74"/>
      <c r="W197" s="74"/>
      <c r="X197" s="74"/>
      <c r="Y197" s="74"/>
      <c r="Z197" s="74"/>
    </row>
    <row r="198">
      <c r="A198" s="74"/>
      <c r="B198" s="73"/>
      <c r="C198" s="73"/>
      <c r="D198" s="73"/>
      <c r="E198" s="73"/>
      <c r="F198" s="74"/>
      <c r="G198" s="74"/>
      <c r="H198" s="74"/>
      <c r="I198" s="74"/>
      <c r="J198" s="74"/>
      <c r="K198" s="74"/>
      <c r="L198" s="74"/>
      <c r="M198" s="74"/>
      <c r="N198" s="74"/>
      <c r="O198" s="74"/>
      <c r="P198" s="74"/>
      <c r="Q198" s="74"/>
      <c r="R198" s="74"/>
      <c r="S198" s="74"/>
      <c r="T198" s="74"/>
      <c r="U198" s="74"/>
      <c r="V198" s="74"/>
      <c r="W198" s="74"/>
      <c r="X198" s="74"/>
      <c r="Y198" s="74"/>
      <c r="Z198" s="74"/>
    </row>
    <row r="199">
      <c r="A199" s="74"/>
      <c r="B199" s="73"/>
      <c r="C199" s="73"/>
      <c r="D199" s="73"/>
      <c r="E199" s="73"/>
      <c r="F199" s="74"/>
      <c r="G199" s="74"/>
      <c r="H199" s="74"/>
      <c r="I199" s="74"/>
      <c r="J199" s="74"/>
      <c r="K199" s="74"/>
      <c r="L199" s="74"/>
      <c r="M199" s="74"/>
      <c r="N199" s="74"/>
      <c r="O199" s="74"/>
      <c r="P199" s="74"/>
      <c r="Q199" s="74"/>
      <c r="R199" s="74"/>
      <c r="S199" s="74"/>
      <c r="T199" s="74"/>
      <c r="U199" s="74"/>
      <c r="V199" s="74"/>
      <c r="W199" s="74"/>
      <c r="X199" s="74"/>
      <c r="Y199" s="74"/>
      <c r="Z199" s="74"/>
    </row>
    <row r="200">
      <c r="A200" s="74"/>
      <c r="B200" s="73"/>
      <c r="C200" s="73"/>
      <c r="D200" s="73"/>
      <c r="E200" s="73"/>
      <c r="F200" s="74"/>
      <c r="G200" s="74"/>
      <c r="H200" s="74"/>
      <c r="I200" s="74"/>
      <c r="J200" s="74"/>
      <c r="K200" s="74"/>
      <c r="L200" s="74"/>
      <c r="M200" s="74"/>
      <c r="N200" s="74"/>
      <c r="O200" s="74"/>
      <c r="P200" s="74"/>
      <c r="Q200" s="74"/>
      <c r="R200" s="74"/>
      <c r="S200" s="74"/>
      <c r="T200" s="74"/>
      <c r="U200" s="74"/>
      <c r="V200" s="74"/>
      <c r="W200" s="74"/>
      <c r="X200" s="74"/>
      <c r="Y200" s="74"/>
      <c r="Z200" s="74"/>
    </row>
    <row r="201">
      <c r="A201" s="74"/>
      <c r="B201" s="73"/>
      <c r="C201" s="73"/>
      <c r="D201" s="73"/>
      <c r="E201" s="73"/>
      <c r="F201" s="74"/>
      <c r="G201" s="74"/>
      <c r="H201" s="74"/>
      <c r="I201" s="74"/>
      <c r="J201" s="74"/>
      <c r="K201" s="74"/>
      <c r="L201" s="74"/>
      <c r="M201" s="74"/>
      <c r="N201" s="74"/>
      <c r="O201" s="74"/>
      <c r="P201" s="74"/>
      <c r="Q201" s="74"/>
      <c r="R201" s="74"/>
      <c r="S201" s="74"/>
      <c r="T201" s="74"/>
      <c r="U201" s="74"/>
      <c r="V201" s="74"/>
      <c r="W201" s="74"/>
      <c r="X201" s="74"/>
      <c r="Y201" s="74"/>
      <c r="Z201" s="74"/>
    </row>
    <row r="202">
      <c r="A202" s="74"/>
      <c r="B202" s="73"/>
      <c r="C202" s="73"/>
      <c r="D202" s="73"/>
      <c r="E202" s="73"/>
      <c r="F202" s="74"/>
      <c r="G202" s="74"/>
      <c r="H202" s="74"/>
      <c r="I202" s="74"/>
      <c r="J202" s="74"/>
      <c r="K202" s="74"/>
      <c r="L202" s="74"/>
      <c r="M202" s="74"/>
      <c r="N202" s="74"/>
      <c r="O202" s="74"/>
      <c r="P202" s="74"/>
      <c r="Q202" s="74"/>
      <c r="R202" s="74"/>
      <c r="S202" s="74"/>
      <c r="T202" s="74"/>
      <c r="U202" s="74"/>
      <c r="V202" s="74"/>
      <c r="W202" s="74"/>
      <c r="X202" s="74"/>
      <c r="Y202" s="74"/>
      <c r="Z202" s="74"/>
    </row>
    <row r="203">
      <c r="A203" s="74"/>
      <c r="B203" s="73"/>
      <c r="C203" s="73"/>
      <c r="D203" s="73"/>
      <c r="E203" s="73"/>
      <c r="F203" s="74"/>
      <c r="G203" s="74"/>
      <c r="H203" s="74"/>
      <c r="I203" s="74"/>
      <c r="J203" s="74"/>
      <c r="K203" s="74"/>
      <c r="L203" s="74"/>
      <c r="M203" s="74"/>
      <c r="N203" s="74"/>
      <c r="O203" s="74"/>
      <c r="P203" s="74"/>
      <c r="Q203" s="74"/>
      <c r="R203" s="74"/>
      <c r="S203" s="74"/>
      <c r="T203" s="74"/>
      <c r="U203" s="74"/>
      <c r="V203" s="74"/>
      <c r="W203" s="74"/>
      <c r="X203" s="74"/>
      <c r="Y203" s="74"/>
      <c r="Z203" s="74"/>
    </row>
    <row r="204">
      <c r="A204" s="74"/>
      <c r="B204" s="73"/>
      <c r="C204" s="73"/>
      <c r="D204" s="73"/>
      <c r="E204" s="73"/>
      <c r="F204" s="74"/>
      <c r="G204" s="74"/>
      <c r="H204" s="74"/>
      <c r="I204" s="74"/>
      <c r="J204" s="74"/>
      <c r="K204" s="74"/>
      <c r="L204" s="74"/>
      <c r="M204" s="74"/>
      <c r="N204" s="74"/>
      <c r="O204" s="74"/>
      <c r="P204" s="74"/>
      <c r="Q204" s="74"/>
      <c r="R204" s="74"/>
      <c r="S204" s="74"/>
      <c r="T204" s="74"/>
      <c r="U204" s="74"/>
      <c r="V204" s="74"/>
      <c r="W204" s="74"/>
      <c r="X204" s="74"/>
      <c r="Y204" s="74"/>
      <c r="Z204" s="74"/>
    </row>
    <row r="205">
      <c r="A205" s="74"/>
      <c r="B205" s="73"/>
      <c r="C205" s="73"/>
      <c r="D205" s="73"/>
      <c r="E205" s="73"/>
      <c r="F205" s="74"/>
      <c r="G205" s="74"/>
      <c r="H205" s="74"/>
      <c r="I205" s="74"/>
      <c r="J205" s="74"/>
      <c r="K205" s="74"/>
      <c r="L205" s="74"/>
      <c r="M205" s="74"/>
      <c r="N205" s="74"/>
      <c r="O205" s="74"/>
      <c r="P205" s="74"/>
      <c r="Q205" s="74"/>
      <c r="R205" s="74"/>
      <c r="S205" s="74"/>
      <c r="T205" s="74"/>
      <c r="U205" s="74"/>
      <c r="V205" s="74"/>
      <c r="W205" s="74"/>
      <c r="X205" s="74"/>
      <c r="Y205" s="74"/>
      <c r="Z205" s="74"/>
    </row>
    <row r="206">
      <c r="A206" s="74"/>
      <c r="B206" s="73"/>
      <c r="C206" s="73"/>
      <c r="D206" s="73"/>
      <c r="E206" s="73"/>
      <c r="F206" s="74"/>
      <c r="G206" s="74"/>
      <c r="H206" s="74"/>
      <c r="I206" s="74"/>
      <c r="J206" s="74"/>
      <c r="K206" s="74"/>
      <c r="L206" s="74"/>
      <c r="M206" s="74"/>
      <c r="N206" s="74"/>
      <c r="O206" s="74"/>
      <c r="P206" s="74"/>
      <c r="Q206" s="74"/>
      <c r="R206" s="74"/>
      <c r="S206" s="74"/>
      <c r="T206" s="74"/>
      <c r="U206" s="74"/>
      <c r="V206" s="74"/>
      <c r="W206" s="74"/>
      <c r="X206" s="74"/>
      <c r="Y206" s="74"/>
      <c r="Z206" s="74"/>
    </row>
    <row r="207">
      <c r="A207" s="74"/>
      <c r="B207" s="73"/>
      <c r="C207" s="73"/>
      <c r="D207" s="73"/>
      <c r="E207" s="73"/>
      <c r="F207" s="74"/>
      <c r="G207" s="74"/>
      <c r="H207" s="74"/>
      <c r="I207" s="74"/>
      <c r="J207" s="74"/>
      <c r="K207" s="74"/>
      <c r="L207" s="74"/>
      <c r="M207" s="74"/>
      <c r="N207" s="74"/>
      <c r="O207" s="74"/>
      <c r="P207" s="74"/>
      <c r="Q207" s="74"/>
      <c r="R207" s="74"/>
      <c r="S207" s="74"/>
      <c r="T207" s="74"/>
      <c r="U207" s="74"/>
      <c r="V207" s="74"/>
      <c r="W207" s="74"/>
      <c r="X207" s="74"/>
      <c r="Y207" s="74"/>
      <c r="Z207" s="74"/>
    </row>
    <row r="208">
      <c r="A208" s="74"/>
      <c r="B208" s="73"/>
      <c r="C208" s="73"/>
      <c r="D208" s="73"/>
      <c r="E208" s="73"/>
      <c r="F208" s="74"/>
      <c r="G208" s="74"/>
      <c r="H208" s="74"/>
      <c r="I208" s="74"/>
      <c r="J208" s="74"/>
      <c r="K208" s="74"/>
      <c r="L208" s="74"/>
      <c r="M208" s="74"/>
      <c r="N208" s="74"/>
      <c r="O208" s="74"/>
      <c r="P208" s="74"/>
      <c r="Q208" s="74"/>
      <c r="R208" s="74"/>
      <c r="S208" s="74"/>
      <c r="T208" s="74"/>
      <c r="U208" s="74"/>
      <c r="V208" s="74"/>
      <c r="W208" s="74"/>
      <c r="X208" s="74"/>
      <c r="Y208" s="74"/>
      <c r="Z208" s="74"/>
    </row>
    <row r="209">
      <c r="A209" s="74"/>
      <c r="B209" s="73"/>
      <c r="C209" s="73"/>
      <c r="D209" s="73"/>
      <c r="E209" s="73"/>
      <c r="F209" s="74"/>
      <c r="G209" s="74"/>
      <c r="H209" s="74"/>
      <c r="I209" s="74"/>
      <c r="J209" s="74"/>
      <c r="K209" s="74"/>
      <c r="L209" s="74"/>
      <c r="M209" s="74"/>
      <c r="N209" s="74"/>
      <c r="O209" s="74"/>
      <c r="P209" s="74"/>
      <c r="Q209" s="74"/>
      <c r="R209" s="74"/>
      <c r="S209" s="74"/>
      <c r="T209" s="74"/>
      <c r="U209" s="74"/>
      <c r="V209" s="74"/>
      <c r="W209" s="74"/>
      <c r="X209" s="74"/>
      <c r="Y209" s="74"/>
      <c r="Z209" s="74"/>
    </row>
    <row r="210">
      <c r="A210" s="74"/>
      <c r="B210" s="73"/>
      <c r="C210" s="73"/>
      <c r="D210" s="73"/>
      <c r="E210" s="73"/>
      <c r="F210" s="74"/>
      <c r="G210" s="74"/>
      <c r="H210" s="74"/>
      <c r="I210" s="74"/>
      <c r="J210" s="74"/>
      <c r="K210" s="74"/>
      <c r="L210" s="74"/>
      <c r="M210" s="74"/>
      <c r="N210" s="74"/>
      <c r="O210" s="74"/>
      <c r="P210" s="74"/>
      <c r="Q210" s="74"/>
      <c r="R210" s="74"/>
      <c r="S210" s="74"/>
      <c r="T210" s="74"/>
      <c r="U210" s="74"/>
      <c r="V210" s="74"/>
      <c r="W210" s="74"/>
      <c r="X210" s="74"/>
      <c r="Y210" s="74"/>
      <c r="Z210" s="74"/>
    </row>
    <row r="211">
      <c r="A211" s="74"/>
      <c r="B211" s="73"/>
      <c r="C211" s="73"/>
      <c r="D211" s="73"/>
      <c r="E211" s="73"/>
      <c r="F211" s="74"/>
      <c r="G211" s="74"/>
      <c r="H211" s="74"/>
      <c r="I211" s="74"/>
      <c r="J211" s="74"/>
      <c r="K211" s="74"/>
      <c r="L211" s="74"/>
      <c r="M211" s="74"/>
      <c r="N211" s="74"/>
      <c r="O211" s="74"/>
      <c r="P211" s="74"/>
      <c r="Q211" s="74"/>
      <c r="R211" s="74"/>
      <c r="S211" s="74"/>
      <c r="T211" s="74"/>
      <c r="U211" s="74"/>
      <c r="V211" s="74"/>
      <c r="W211" s="74"/>
      <c r="X211" s="74"/>
      <c r="Y211" s="74"/>
      <c r="Z211" s="74"/>
    </row>
    <row r="212">
      <c r="A212" s="74"/>
      <c r="B212" s="73"/>
      <c r="C212" s="73"/>
      <c r="D212" s="73"/>
      <c r="E212" s="73"/>
      <c r="F212" s="74"/>
      <c r="G212" s="74"/>
      <c r="H212" s="74"/>
      <c r="I212" s="74"/>
      <c r="J212" s="74"/>
      <c r="K212" s="74"/>
      <c r="L212" s="74"/>
      <c r="M212" s="74"/>
      <c r="N212" s="74"/>
      <c r="O212" s="74"/>
      <c r="P212" s="74"/>
      <c r="Q212" s="74"/>
      <c r="R212" s="74"/>
      <c r="S212" s="74"/>
      <c r="T212" s="74"/>
      <c r="U212" s="74"/>
      <c r="V212" s="74"/>
      <c r="W212" s="74"/>
      <c r="X212" s="74"/>
      <c r="Y212" s="74"/>
      <c r="Z212" s="74"/>
    </row>
    <row r="213">
      <c r="A213" s="74"/>
      <c r="B213" s="73"/>
      <c r="C213" s="73"/>
      <c r="D213" s="73"/>
      <c r="E213" s="73"/>
      <c r="F213" s="74"/>
      <c r="G213" s="74"/>
      <c r="H213" s="74"/>
      <c r="I213" s="74"/>
      <c r="J213" s="74"/>
      <c r="K213" s="74"/>
      <c r="L213" s="74"/>
      <c r="M213" s="74"/>
      <c r="N213" s="74"/>
      <c r="O213" s="74"/>
      <c r="P213" s="74"/>
      <c r="Q213" s="74"/>
      <c r="R213" s="74"/>
      <c r="S213" s="74"/>
      <c r="T213" s="74"/>
      <c r="U213" s="74"/>
      <c r="V213" s="74"/>
      <c r="W213" s="74"/>
      <c r="X213" s="74"/>
      <c r="Y213" s="74"/>
      <c r="Z213" s="74"/>
    </row>
    <row r="214">
      <c r="A214" s="74"/>
      <c r="B214" s="73"/>
      <c r="C214" s="73"/>
      <c r="D214" s="73"/>
      <c r="E214" s="73"/>
      <c r="F214" s="74"/>
      <c r="G214" s="74"/>
      <c r="H214" s="74"/>
      <c r="I214" s="74"/>
      <c r="J214" s="74"/>
      <c r="K214" s="74"/>
      <c r="L214" s="74"/>
      <c r="M214" s="74"/>
      <c r="N214" s="74"/>
      <c r="O214" s="74"/>
      <c r="P214" s="74"/>
      <c r="Q214" s="74"/>
      <c r="R214" s="74"/>
      <c r="S214" s="74"/>
      <c r="T214" s="74"/>
      <c r="U214" s="74"/>
      <c r="V214" s="74"/>
      <c r="W214" s="74"/>
      <c r="X214" s="74"/>
      <c r="Y214" s="74"/>
      <c r="Z214" s="74"/>
    </row>
    <row r="215">
      <c r="A215" s="74"/>
      <c r="B215" s="73"/>
      <c r="C215" s="73"/>
      <c r="D215" s="73"/>
      <c r="E215" s="73"/>
      <c r="F215" s="74"/>
      <c r="G215" s="74"/>
      <c r="H215" s="74"/>
      <c r="I215" s="74"/>
      <c r="J215" s="74"/>
      <c r="K215" s="74"/>
      <c r="L215" s="74"/>
      <c r="M215" s="74"/>
      <c r="N215" s="74"/>
      <c r="O215" s="74"/>
      <c r="P215" s="74"/>
      <c r="Q215" s="74"/>
      <c r="R215" s="74"/>
      <c r="S215" s="74"/>
      <c r="T215" s="74"/>
      <c r="U215" s="74"/>
      <c r="V215" s="74"/>
      <c r="W215" s="74"/>
      <c r="X215" s="74"/>
      <c r="Y215" s="74"/>
      <c r="Z215" s="74"/>
    </row>
    <row r="216">
      <c r="A216" s="74"/>
      <c r="B216" s="73"/>
      <c r="C216" s="73"/>
      <c r="D216" s="73"/>
      <c r="E216" s="73"/>
      <c r="F216" s="74"/>
      <c r="G216" s="74"/>
      <c r="H216" s="74"/>
      <c r="I216" s="74"/>
      <c r="J216" s="74"/>
      <c r="K216" s="74"/>
      <c r="L216" s="74"/>
      <c r="M216" s="74"/>
      <c r="N216" s="74"/>
      <c r="O216" s="74"/>
      <c r="P216" s="74"/>
      <c r="Q216" s="74"/>
      <c r="R216" s="74"/>
      <c r="S216" s="74"/>
      <c r="T216" s="74"/>
      <c r="U216" s="74"/>
      <c r="V216" s="74"/>
      <c r="W216" s="74"/>
      <c r="X216" s="74"/>
      <c r="Y216" s="74"/>
      <c r="Z216" s="74"/>
    </row>
    <row r="217">
      <c r="A217" s="74"/>
      <c r="B217" s="73"/>
      <c r="C217" s="73"/>
      <c r="D217" s="73"/>
      <c r="E217" s="73"/>
      <c r="F217" s="74"/>
      <c r="G217" s="74"/>
      <c r="H217" s="74"/>
      <c r="I217" s="74"/>
      <c r="J217" s="74"/>
      <c r="K217" s="74"/>
      <c r="L217" s="74"/>
      <c r="M217" s="74"/>
      <c r="N217" s="74"/>
      <c r="O217" s="74"/>
      <c r="P217" s="74"/>
      <c r="Q217" s="74"/>
      <c r="R217" s="74"/>
      <c r="S217" s="74"/>
      <c r="T217" s="74"/>
      <c r="U217" s="74"/>
      <c r="V217" s="74"/>
      <c r="W217" s="74"/>
      <c r="X217" s="74"/>
      <c r="Y217" s="74"/>
      <c r="Z217" s="74"/>
    </row>
    <row r="218">
      <c r="A218" s="74"/>
      <c r="B218" s="73"/>
      <c r="C218" s="73"/>
      <c r="D218" s="73"/>
      <c r="E218" s="73"/>
      <c r="F218" s="74"/>
      <c r="G218" s="74"/>
      <c r="H218" s="74"/>
      <c r="I218" s="74"/>
      <c r="J218" s="74"/>
      <c r="K218" s="74"/>
      <c r="L218" s="74"/>
      <c r="M218" s="74"/>
      <c r="N218" s="74"/>
      <c r="O218" s="74"/>
      <c r="P218" s="74"/>
      <c r="Q218" s="74"/>
      <c r="R218" s="74"/>
      <c r="S218" s="74"/>
      <c r="T218" s="74"/>
      <c r="U218" s="74"/>
      <c r="V218" s="74"/>
      <c r="W218" s="74"/>
      <c r="X218" s="74"/>
      <c r="Y218" s="74"/>
      <c r="Z218" s="74"/>
    </row>
    <row r="219">
      <c r="A219" s="74"/>
      <c r="B219" s="73"/>
      <c r="C219" s="73"/>
      <c r="D219" s="73"/>
      <c r="E219" s="73"/>
      <c r="F219" s="74"/>
      <c r="G219" s="74"/>
      <c r="H219" s="74"/>
      <c r="I219" s="74"/>
      <c r="J219" s="74"/>
      <c r="K219" s="74"/>
      <c r="L219" s="74"/>
      <c r="M219" s="74"/>
      <c r="N219" s="74"/>
      <c r="O219" s="74"/>
      <c r="P219" s="74"/>
      <c r="Q219" s="74"/>
      <c r="R219" s="74"/>
      <c r="S219" s="74"/>
      <c r="T219" s="74"/>
      <c r="U219" s="74"/>
      <c r="V219" s="74"/>
      <c r="W219" s="74"/>
      <c r="X219" s="74"/>
      <c r="Y219" s="74"/>
      <c r="Z219" s="74"/>
    </row>
    <row r="220">
      <c r="A220" s="74"/>
      <c r="B220" s="73"/>
      <c r="C220" s="73"/>
      <c r="D220" s="73"/>
      <c r="E220" s="73"/>
      <c r="F220" s="74"/>
      <c r="G220" s="74"/>
      <c r="H220" s="74"/>
      <c r="I220" s="74"/>
      <c r="J220" s="74"/>
      <c r="K220" s="74"/>
      <c r="L220" s="74"/>
      <c r="M220" s="74"/>
      <c r="N220" s="74"/>
      <c r="O220" s="74"/>
      <c r="P220" s="74"/>
      <c r="Q220" s="74"/>
      <c r="R220" s="74"/>
      <c r="S220" s="74"/>
      <c r="T220" s="74"/>
      <c r="U220" s="74"/>
      <c r="V220" s="74"/>
      <c r="W220" s="74"/>
      <c r="X220" s="74"/>
      <c r="Y220" s="74"/>
      <c r="Z220" s="74"/>
    </row>
    <row r="221">
      <c r="A221" s="74"/>
      <c r="B221" s="73"/>
      <c r="C221" s="73"/>
      <c r="D221" s="73"/>
      <c r="E221" s="73"/>
      <c r="F221" s="74"/>
      <c r="G221" s="74"/>
      <c r="H221" s="74"/>
      <c r="I221" s="74"/>
      <c r="J221" s="74"/>
      <c r="K221" s="74"/>
      <c r="L221" s="74"/>
      <c r="M221" s="74"/>
      <c r="N221" s="74"/>
      <c r="O221" s="74"/>
      <c r="P221" s="74"/>
      <c r="Q221" s="74"/>
      <c r="R221" s="74"/>
      <c r="S221" s="74"/>
      <c r="T221" s="74"/>
      <c r="U221" s="74"/>
      <c r="V221" s="74"/>
      <c r="W221" s="74"/>
      <c r="X221" s="74"/>
      <c r="Y221" s="74"/>
      <c r="Z221" s="74"/>
    </row>
    <row r="222">
      <c r="A222" s="74"/>
      <c r="B222" s="73"/>
      <c r="C222" s="73"/>
      <c r="D222" s="73"/>
      <c r="E222" s="73"/>
      <c r="F222" s="74"/>
      <c r="G222" s="74"/>
      <c r="H222" s="74"/>
      <c r="I222" s="74"/>
      <c r="J222" s="74"/>
      <c r="K222" s="74"/>
      <c r="L222" s="74"/>
      <c r="M222" s="74"/>
      <c r="N222" s="74"/>
      <c r="O222" s="74"/>
      <c r="P222" s="74"/>
      <c r="Q222" s="74"/>
      <c r="R222" s="74"/>
      <c r="S222" s="74"/>
      <c r="T222" s="74"/>
      <c r="U222" s="74"/>
      <c r="V222" s="74"/>
      <c r="W222" s="74"/>
      <c r="X222" s="74"/>
      <c r="Y222" s="74"/>
      <c r="Z222" s="74"/>
    </row>
    <row r="223">
      <c r="A223" s="74"/>
      <c r="B223" s="73"/>
      <c r="C223" s="73"/>
      <c r="D223" s="73"/>
      <c r="E223" s="73"/>
      <c r="F223" s="74"/>
      <c r="G223" s="74"/>
      <c r="H223" s="74"/>
      <c r="I223" s="74"/>
      <c r="J223" s="74"/>
      <c r="K223" s="74"/>
      <c r="L223" s="74"/>
      <c r="M223" s="74"/>
      <c r="N223" s="74"/>
      <c r="O223" s="74"/>
      <c r="P223" s="74"/>
      <c r="Q223" s="74"/>
      <c r="R223" s="74"/>
      <c r="S223" s="74"/>
      <c r="T223" s="74"/>
      <c r="U223" s="74"/>
      <c r="V223" s="74"/>
      <c r="W223" s="74"/>
      <c r="X223" s="74"/>
      <c r="Y223" s="74"/>
      <c r="Z223" s="74"/>
    </row>
    <row r="224">
      <c r="A224" s="74"/>
      <c r="B224" s="73"/>
      <c r="C224" s="73"/>
      <c r="D224" s="73"/>
      <c r="E224" s="73"/>
      <c r="F224" s="74"/>
      <c r="G224" s="74"/>
      <c r="H224" s="74"/>
      <c r="I224" s="74"/>
      <c r="J224" s="74"/>
      <c r="K224" s="74"/>
      <c r="L224" s="74"/>
      <c r="M224" s="74"/>
      <c r="N224" s="74"/>
      <c r="O224" s="74"/>
      <c r="P224" s="74"/>
      <c r="Q224" s="74"/>
      <c r="R224" s="74"/>
      <c r="S224" s="74"/>
      <c r="T224" s="74"/>
      <c r="U224" s="74"/>
      <c r="V224" s="74"/>
      <c r="W224" s="74"/>
      <c r="X224" s="74"/>
      <c r="Y224" s="74"/>
      <c r="Z224" s="74"/>
    </row>
    <row r="225">
      <c r="A225" s="74"/>
      <c r="B225" s="73"/>
      <c r="C225" s="73"/>
      <c r="D225" s="73"/>
      <c r="E225" s="73"/>
      <c r="F225" s="74"/>
      <c r="G225" s="74"/>
      <c r="H225" s="74"/>
      <c r="I225" s="74"/>
      <c r="J225" s="74"/>
      <c r="K225" s="74"/>
      <c r="L225" s="74"/>
      <c r="M225" s="74"/>
      <c r="N225" s="74"/>
      <c r="O225" s="74"/>
      <c r="P225" s="74"/>
      <c r="Q225" s="74"/>
      <c r="R225" s="74"/>
      <c r="S225" s="74"/>
      <c r="T225" s="74"/>
      <c r="U225" s="74"/>
      <c r="V225" s="74"/>
      <c r="W225" s="74"/>
      <c r="X225" s="74"/>
      <c r="Y225" s="74"/>
      <c r="Z225" s="74"/>
    </row>
    <row r="226">
      <c r="A226" s="74"/>
      <c r="B226" s="73"/>
      <c r="C226" s="73"/>
      <c r="D226" s="73"/>
      <c r="E226" s="73"/>
      <c r="F226" s="74"/>
      <c r="G226" s="74"/>
      <c r="H226" s="74"/>
      <c r="I226" s="74"/>
      <c r="J226" s="74"/>
      <c r="K226" s="74"/>
      <c r="L226" s="74"/>
      <c r="M226" s="74"/>
      <c r="N226" s="74"/>
      <c r="O226" s="74"/>
      <c r="P226" s="74"/>
      <c r="Q226" s="74"/>
      <c r="R226" s="74"/>
      <c r="S226" s="74"/>
      <c r="T226" s="74"/>
      <c r="U226" s="74"/>
      <c r="V226" s="74"/>
      <c r="W226" s="74"/>
      <c r="X226" s="74"/>
      <c r="Y226" s="74"/>
      <c r="Z226" s="74"/>
    </row>
    <row r="227">
      <c r="A227" s="74"/>
      <c r="B227" s="73"/>
      <c r="C227" s="73"/>
      <c r="D227" s="73"/>
      <c r="E227" s="73"/>
      <c r="F227" s="74"/>
      <c r="G227" s="74"/>
      <c r="H227" s="74"/>
      <c r="I227" s="74"/>
      <c r="J227" s="74"/>
      <c r="K227" s="74"/>
      <c r="L227" s="74"/>
      <c r="M227" s="74"/>
      <c r="N227" s="74"/>
      <c r="O227" s="74"/>
      <c r="P227" s="74"/>
      <c r="Q227" s="74"/>
      <c r="R227" s="74"/>
      <c r="S227" s="74"/>
      <c r="T227" s="74"/>
      <c r="U227" s="74"/>
      <c r="V227" s="74"/>
      <c r="W227" s="74"/>
      <c r="X227" s="74"/>
      <c r="Y227" s="74"/>
      <c r="Z227" s="74"/>
    </row>
    <row r="228">
      <c r="A228" s="74"/>
      <c r="B228" s="73"/>
      <c r="C228" s="73"/>
      <c r="D228" s="73"/>
      <c r="E228" s="73"/>
      <c r="F228" s="74"/>
      <c r="G228" s="74"/>
      <c r="H228" s="74"/>
      <c r="I228" s="74"/>
      <c r="J228" s="74"/>
      <c r="K228" s="74"/>
      <c r="L228" s="74"/>
      <c r="M228" s="74"/>
      <c r="N228" s="74"/>
      <c r="O228" s="74"/>
      <c r="P228" s="74"/>
      <c r="Q228" s="74"/>
      <c r="R228" s="74"/>
      <c r="S228" s="74"/>
      <c r="T228" s="74"/>
      <c r="U228" s="74"/>
      <c r="V228" s="74"/>
      <c r="W228" s="74"/>
      <c r="X228" s="74"/>
      <c r="Y228" s="74"/>
      <c r="Z228" s="74"/>
    </row>
    <row r="229">
      <c r="A229" s="74"/>
      <c r="B229" s="73"/>
      <c r="C229" s="73"/>
      <c r="D229" s="73"/>
      <c r="E229" s="73"/>
      <c r="F229" s="74"/>
      <c r="G229" s="74"/>
      <c r="H229" s="74"/>
      <c r="I229" s="74"/>
      <c r="J229" s="74"/>
      <c r="K229" s="74"/>
      <c r="L229" s="74"/>
      <c r="M229" s="74"/>
      <c r="N229" s="74"/>
      <c r="O229" s="74"/>
      <c r="P229" s="74"/>
      <c r="Q229" s="74"/>
      <c r="R229" s="74"/>
      <c r="S229" s="74"/>
      <c r="T229" s="74"/>
      <c r="U229" s="74"/>
      <c r="V229" s="74"/>
      <c r="W229" s="74"/>
      <c r="X229" s="74"/>
      <c r="Y229" s="74"/>
      <c r="Z229" s="74"/>
    </row>
    <row r="230">
      <c r="A230" s="74"/>
      <c r="B230" s="73"/>
      <c r="C230" s="73"/>
      <c r="D230" s="73"/>
      <c r="E230" s="73"/>
      <c r="F230" s="74"/>
      <c r="G230" s="74"/>
      <c r="H230" s="74"/>
      <c r="I230" s="74"/>
      <c r="J230" s="74"/>
      <c r="K230" s="74"/>
      <c r="L230" s="74"/>
      <c r="M230" s="74"/>
      <c r="N230" s="74"/>
      <c r="O230" s="74"/>
      <c r="P230" s="74"/>
      <c r="Q230" s="74"/>
      <c r="R230" s="74"/>
      <c r="S230" s="74"/>
      <c r="T230" s="74"/>
      <c r="U230" s="74"/>
      <c r="V230" s="74"/>
      <c r="W230" s="74"/>
      <c r="X230" s="74"/>
      <c r="Y230" s="74"/>
      <c r="Z230" s="74"/>
    </row>
    <row r="231">
      <c r="A231" s="74"/>
      <c r="B231" s="73"/>
      <c r="C231" s="73"/>
      <c r="D231" s="73"/>
      <c r="E231" s="73"/>
      <c r="F231" s="74"/>
      <c r="G231" s="74"/>
      <c r="H231" s="74"/>
      <c r="I231" s="74"/>
      <c r="J231" s="74"/>
      <c r="K231" s="74"/>
      <c r="L231" s="74"/>
      <c r="M231" s="74"/>
      <c r="N231" s="74"/>
      <c r="O231" s="74"/>
      <c r="P231" s="74"/>
      <c r="Q231" s="74"/>
      <c r="R231" s="74"/>
      <c r="S231" s="74"/>
      <c r="T231" s="74"/>
      <c r="U231" s="74"/>
      <c r="V231" s="74"/>
      <c r="W231" s="74"/>
      <c r="X231" s="74"/>
      <c r="Y231" s="74"/>
      <c r="Z231" s="74"/>
    </row>
    <row r="232">
      <c r="A232" s="74"/>
      <c r="B232" s="73"/>
      <c r="C232" s="73"/>
      <c r="D232" s="73"/>
      <c r="E232" s="73"/>
      <c r="F232" s="74"/>
      <c r="G232" s="74"/>
      <c r="H232" s="74"/>
      <c r="I232" s="74"/>
      <c r="J232" s="74"/>
      <c r="K232" s="74"/>
      <c r="L232" s="74"/>
      <c r="M232" s="74"/>
      <c r="N232" s="74"/>
      <c r="O232" s="74"/>
      <c r="P232" s="74"/>
      <c r="Q232" s="74"/>
      <c r="R232" s="74"/>
      <c r="S232" s="74"/>
      <c r="T232" s="74"/>
      <c r="U232" s="74"/>
      <c r="V232" s="74"/>
      <c r="W232" s="74"/>
      <c r="X232" s="74"/>
      <c r="Y232" s="74"/>
      <c r="Z232" s="74"/>
    </row>
    <row r="233">
      <c r="A233" s="74"/>
      <c r="B233" s="73"/>
      <c r="C233" s="73"/>
      <c r="D233" s="73"/>
      <c r="E233" s="73"/>
      <c r="F233" s="74"/>
      <c r="G233" s="74"/>
      <c r="H233" s="74"/>
      <c r="I233" s="74"/>
      <c r="J233" s="74"/>
      <c r="K233" s="74"/>
      <c r="L233" s="74"/>
      <c r="M233" s="74"/>
      <c r="N233" s="74"/>
      <c r="O233" s="74"/>
      <c r="P233" s="74"/>
      <c r="Q233" s="74"/>
      <c r="R233" s="74"/>
      <c r="S233" s="74"/>
      <c r="T233" s="74"/>
      <c r="U233" s="74"/>
      <c r="V233" s="74"/>
      <c r="W233" s="74"/>
      <c r="X233" s="74"/>
      <c r="Y233" s="74"/>
      <c r="Z233" s="74"/>
    </row>
    <row r="234">
      <c r="A234" s="74"/>
      <c r="B234" s="73"/>
      <c r="C234" s="73"/>
      <c r="D234" s="73"/>
      <c r="E234" s="73"/>
      <c r="F234" s="74"/>
      <c r="G234" s="74"/>
      <c r="H234" s="74"/>
      <c r="I234" s="74"/>
      <c r="J234" s="74"/>
      <c r="K234" s="74"/>
      <c r="L234" s="74"/>
      <c r="M234" s="74"/>
      <c r="N234" s="74"/>
      <c r="O234" s="74"/>
      <c r="P234" s="74"/>
      <c r="Q234" s="74"/>
      <c r="R234" s="74"/>
      <c r="S234" s="74"/>
      <c r="T234" s="74"/>
      <c r="U234" s="74"/>
      <c r="V234" s="74"/>
      <c r="W234" s="74"/>
      <c r="X234" s="74"/>
      <c r="Y234" s="74"/>
      <c r="Z234" s="74"/>
    </row>
    <row r="235">
      <c r="A235" s="74"/>
      <c r="B235" s="73"/>
      <c r="C235" s="73"/>
      <c r="D235" s="73"/>
      <c r="E235" s="73"/>
      <c r="F235" s="74"/>
      <c r="G235" s="74"/>
      <c r="H235" s="74"/>
      <c r="I235" s="74"/>
      <c r="J235" s="74"/>
      <c r="K235" s="74"/>
      <c r="L235" s="74"/>
      <c r="M235" s="74"/>
      <c r="N235" s="74"/>
      <c r="O235" s="74"/>
      <c r="P235" s="74"/>
      <c r="Q235" s="74"/>
      <c r="R235" s="74"/>
      <c r="S235" s="74"/>
      <c r="T235" s="74"/>
      <c r="U235" s="74"/>
      <c r="V235" s="74"/>
      <c r="W235" s="74"/>
      <c r="X235" s="74"/>
      <c r="Y235" s="74"/>
      <c r="Z235" s="74"/>
    </row>
    <row r="236">
      <c r="A236" s="74"/>
      <c r="B236" s="73"/>
      <c r="C236" s="73"/>
      <c r="D236" s="73"/>
      <c r="E236" s="73"/>
      <c r="F236" s="74"/>
      <c r="G236" s="74"/>
      <c r="H236" s="74"/>
      <c r="I236" s="74"/>
      <c r="J236" s="74"/>
      <c r="K236" s="74"/>
      <c r="L236" s="74"/>
      <c r="M236" s="74"/>
      <c r="N236" s="74"/>
      <c r="O236" s="74"/>
      <c r="P236" s="74"/>
      <c r="Q236" s="74"/>
      <c r="R236" s="74"/>
      <c r="S236" s="74"/>
      <c r="T236" s="74"/>
      <c r="U236" s="74"/>
      <c r="V236" s="74"/>
      <c r="W236" s="74"/>
      <c r="X236" s="74"/>
      <c r="Y236" s="74"/>
      <c r="Z236" s="74"/>
    </row>
    <row r="237">
      <c r="A237" s="74"/>
      <c r="B237" s="73"/>
      <c r="C237" s="73"/>
      <c r="D237" s="73"/>
      <c r="E237" s="73"/>
      <c r="F237" s="74"/>
      <c r="G237" s="74"/>
      <c r="H237" s="74"/>
      <c r="I237" s="74"/>
      <c r="J237" s="74"/>
      <c r="K237" s="74"/>
      <c r="L237" s="74"/>
      <c r="M237" s="74"/>
      <c r="N237" s="74"/>
      <c r="O237" s="74"/>
      <c r="P237" s="74"/>
      <c r="Q237" s="74"/>
      <c r="R237" s="74"/>
      <c r="S237" s="74"/>
      <c r="T237" s="74"/>
      <c r="U237" s="74"/>
      <c r="V237" s="74"/>
      <c r="W237" s="74"/>
      <c r="X237" s="74"/>
      <c r="Y237" s="74"/>
      <c r="Z237" s="74"/>
    </row>
    <row r="238">
      <c r="A238" s="74"/>
      <c r="B238" s="73"/>
      <c r="C238" s="73"/>
      <c r="D238" s="73"/>
      <c r="E238" s="73"/>
      <c r="F238" s="74"/>
      <c r="G238" s="74"/>
      <c r="H238" s="74"/>
      <c r="I238" s="74"/>
      <c r="J238" s="74"/>
      <c r="K238" s="74"/>
      <c r="L238" s="74"/>
      <c r="M238" s="74"/>
      <c r="N238" s="74"/>
      <c r="O238" s="74"/>
      <c r="P238" s="74"/>
      <c r="Q238" s="74"/>
      <c r="R238" s="74"/>
      <c r="S238" s="74"/>
      <c r="T238" s="74"/>
      <c r="U238" s="74"/>
      <c r="V238" s="74"/>
      <c r="W238" s="74"/>
      <c r="X238" s="74"/>
      <c r="Y238" s="74"/>
      <c r="Z238" s="74"/>
    </row>
    <row r="239">
      <c r="A239" s="74"/>
      <c r="B239" s="73"/>
      <c r="C239" s="73"/>
      <c r="D239" s="73"/>
      <c r="E239" s="73"/>
      <c r="F239" s="74"/>
      <c r="G239" s="74"/>
      <c r="H239" s="74"/>
      <c r="I239" s="74"/>
      <c r="J239" s="74"/>
      <c r="K239" s="74"/>
      <c r="L239" s="74"/>
      <c r="M239" s="74"/>
      <c r="N239" s="74"/>
      <c r="O239" s="74"/>
      <c r="P239" s="74"/>
      <c r="Q239" s="74"/>
      <c r="R239" s="74"/>
      <c r="S239" s="74"/>
      <c r="T239" s="74"/>
      <c r="U239" s="74"/>
      <c r="V239" s="74"/>
      <c r="W239" s="74"/>
      <c r="X239" s="74"/>
      <c r="Y239" s="74"/>
      <c r="Z239" s="74"/>
    </row>
    <row r="240">
      <c r="A240" s="74"/>
      <c r="B240" s="73"/>
      <c r="C240" s="73"/>
      <c r="D240" s="73"/>
      <c r="E240" s="73"/>
      <c r="F240" s="74"/>
      <c r="G240" s="74"/>
      <c r="H240" s="74"/>
      <c r="I240" s="74"/>
      <c r="J240" s="74"/>
      <c r="K240" s="74"/>
      <c r="L240" s="74"/>
      <c r="M240" s="74"/>
      <c r="N240" s="74"/>
      <c r="O240" s="74"/>
      <c r="P240" s="74"/>
      <c r="Q240" s="74"/>
      <c r="R240" s="74"/>
      <c r="S240" s="74"/>
      <c r="T240" s="74"/>
      <c r="U240" s="74"/>
      <c r="V240" s="74"/>
      <c r="W240" s="74"/>
      <c r="X240" s="74"/>
      <c r="Y240" s="74"/>
      <c r="Z240" s="74"/>
    </row>
    <row r="241">
      <c r="A241" s="74"/>
      <c r="B241" s="73"/>
      <c r="C241" s="73"/>
      <c r="D241" s="73"/>
      <c r="E241" s="73"/>
      <c r="F241" s="74"/>
      <c r="G241" s="74"/>
      <c r="H241" s="74"/>
      <c r="I241" s="74"/>
      <c r="J241" s="74"/>
      <c r="K241" s="74"/>
      <c r="L241" s="74"/>
      <c r="M241" s="74"/>
      <c r="N241" s="74"/>
      <c r="O241" s="74"/>
      <c r="P241" s="74"/>
      <c r="Q241" s="74"/>
      <c r="R241" s="74"/>
      <c r="S241" s="74"/>
      <c r="T241" s="74"/>
      <c r="U241" s="74"/>
      <c r="V241" s="74"/>
      <c r="W241" s="74"/>
      <c r="X241" s="74"/>
      <c r="Y241" s="74"/>
      <c r="Z241" s="74"/>
    </row>
    <row r="242">
      <c r="A242" s="74"/>
      <c r="B242" s="73"/>
      <c r="C242" s="73"/>
      <c r="D242" s="73"/>
      <c r="E242" s="73"/>
      <c r="F242" s="74"/>
      <c r="G242" s="74"/>
      <c r="H242" s="74"/>
      <c r="I242" s="74"/>
      <c r="J242" s="74"/>
      <c r="K242" s="74"/>
      <c r="L242" s="74"/>
      <c r="M242" s="74"/>
      <c r="N242" s="74"/>
      <c r="O242" s="74"/>
      <c r="P242" s="74"/>
      <c r="Q242" s="74"/>
      <c r="R242" s="74"/>
      <c r="S242" s="74"/>
      <c r="T242" s="74"/>
      <c r="U242" s="74"/>
      <c r="V242" s="74"/>
      <c r="W242" s="74"/>
      <c r="X242" s="74"/>
      <c r="Y242" s="74"/>
      <c r="Z242" s="74"/>
    </row>
    <row r="243">
      <c r="A243" s="74"/>
      <c r="B243" s="73"/>
      <c r="C243" s="73"/>
      <c r="D243" s="73"/>
      <c r="E243" s="73"/>
      <c r="F243" s="74"/>
      <c r="G243" s="74"/>
      <c r="H243" s="74"/>
      <c r="I243" s="74"/>
      <c r="J243" s="74"/>
      <c r="K243" s="74"/>
      <c r="L243" s="74"/>
      <c r="M243" s="74"/>
      <c r="N243" s="74"/>
      <c r="O243" s="74"/>
      <c r="P243" s="74"/>
      <c r="Q243" s="74"/>
      <c r="R243" s="74"/>
      <c r="S243" s="74"/>
      <c r="T243" s="74"/>
      <c r="U243" s="74"/>
      <c r="V243" s="74"/>
      <c r="W243" s="74"/>
      <c r="X243" s="74"/>
      <c r="Y243" s="74"/>
      <c r="Z243" s="74"/>
    </row>
    <row r="244">
      <c r="A244" s="74"/>
      <c r="B244" s="73"/>
      <c r="C244" s="73"/>
      <c r="D244" s="73"/>
      <c r="E244" s="73"/>
      <c r="F244" s="74"/>
      <c r="G244" s="74"/>
      <c r="H244" s="74"/>
      <c r="I244" s="74"/>
      <c r="J244" s="74"/>
      <c r="K244" s="74"/>
      <c r="L244" s="74"/>
      <c r="M244" s="74"/>
      <c r="N244" s="74"/>
      <c r="O244" s="74"/>
      <c r="P244" s="74"/>
      <c r="Q244" s="74"/>
      <c r="R244" s="74"/>
      <c r="S244" s="74"/>
      <c r="T244" s="74"/>
      <c r="U244" s="74"/>
      <c r="V244" s="74"/>
      <c r="W244" s="74"/>
      <c r="X244" s="74"/>
      <c r="Y244" s="74"/>
      <c r="Z244" s="74"/>
    </row>
    <row r="245">
      <c r="A245" s="74"/>
      <c r="B245" s="73"/>
      <c r="C245" s="73"/>
      <c r="D245" s="73"/>
      <c r="E245" s="73"/>
      <c r="F245" s="74"/>
      <c r="G245" s="74"/>
      <c r="H245" s="74"/>
      <c r="I245" s="74"/>
      <c r="J245" s="74"/>
      <c r="K245" s="74"/>
      <c r="L245" s="74"/>
      <c r="M245" s="74"/>
      <c r="N245" s="74"/>
      <c r="O245" s="74"/>
      <c r="P245" s="74"/>
      <c r="Q245" s="74"/>
      <c r="R245" s="74"/>
      <c r="S245" s="74"/>
      <c r="T245" s="74"/>
      <c r="U245" s="74"/>
      <c r="V245" s="74"/>
      <c r="W245" s="74"/>
      <c r="X245" s="74"/>
      <c r="Y245" s="74"/>
      <c r="Z245" s="74"/>
    </row>
    <row r="246">
      <c r="A246" s="74"/>
      <c r="B246" s="73"/>
      <c r="C246" s="73"/>
      <c r="D246" s="73"/>
      <c r="E246" s="73"/>
      <c r="F246" s="74"/>
      <c r="G246" s="74"/>
      <c r="H246" s="74"/>
      <c r="I246" s="74"/>
      <c r="J246" s="74"/>
      <c r="K246" s="74"/>
      <c r="L246" s="74"/>
      <c r="M246" s="74"/>
      <c r="N246" s="74"/>
      <c r="O246" s="74"/>
      <c r="P246" s="74"/>
      <c r="Q246" s="74"/>
      <c r="R246" s="74"/>
      <c r="S246" s="74"/>
      <c r="T246" s="74"/>
      <c r="U246" s="74"/>
      <c r="V246" s="74"/>
      <c r="W246" s="74"/>
      <c r="X246" s="74"/>
      <c r="Y246" s="74"/>
      <c r="Z246" s="74"/>
    </row>
    <row r="247">
      <c r="A247" s="74"/>
      <c r="B247" s="73"/>
      <c r="C247" s="73"/>
      <c r="D247" s="73"/>
      <c r="E247" s="73"/>
      <c r="F247" s="74"/>
      <c r="G247" s="74"/>
      <c r="H247" s="74"/>
      <c r="I247" s="74"/>
      <c r="J247" s="74"/>
      <c r="K247" s="74"/>
      <c r="L247" s="74"/>
      <c r="M247" s="74"/>
      <c r="N247" s="74"/>
      <c r="O247" s="74"/>
      <c r="P247" s="74"/>
      <c r="Q247" s="74"/>
      <c r="R247" s="74"/>
      <c r="S247" s="74"/>
      <c r="T247" s="74"/>
      <c r="U247" s="74"/>
      <c r="V247" s="74"/>
      <c r="W247" s="74"/>
      <c r="X247" s="74"/>
      <c r="Y247" s="74"/>
      <c r="Z247" s="74"/>
    </row>
    <row r="248">
      <c r="A248" s="74"/>
      <c r="B248" s="73"/>
      <c r="C248" s="73"/>
      <c r="D248" s="73"/>
      <c r="E248" s="73"/>
      <c r="F248" s="74"/>
      <c r="G248" s="74"/>
      <c r="H248" s="74"/>
      <c r="I248" s="74"/>
      <c r="J248" s="74"/>
      <c r="K248" s="74"/>
      <c r="L248" s="74"/>
      <c r="M248" s="74"/>
      <c r="N248" s="74"/>
      <c r="O248" s="74"/>
      <c r="P248" s="74"/>
      <c r="Q248" s="74"/>
      <c r="R248" s="74"/>
      <c r="S248" s="74"/>
      <c r="T248" s="74"/>
      <c r="U248" s="74"/>
      <c r="V248" s="74"/>
      <c r="W248" s="74"/>
      <c r="X248" s="74"/>
      <c r="Y248" s="74"/>
      <c r="Z248" s="74"/>
    </row>
    <row r="249">
      <c r="A249" s="74"/>
      <c r="B249" s="73"/>
      <c r="C249" s="73"/>
      <c r="D249" s="73"/>
      <c r="E249" s="73"/>
      <c r="F249" s="74"/>
      <c r="G249" s="74"/>
      <c r="H249" s="74"/>
      <c r="I249" s="74"/>
      <c r="J249" s="74"/>
      <c r="K249" s="74"/>
      <c r="L249" s="74"/>
      <c r="M249" s="74"/>
      <c r="N249" s="74"/>
      <c r="O249" s="74"/>
      <c r="P249" s="74"/>
      <c r="Q249" s="74"/>
      <c r="R249" s="74"/>
      <c r="S249" s="74"/>
      <c r="T249" s="74"/>
      <c r="U249" s="74"/>
      <c r="V249" s="74"/>
      <c r="W249" s="74"/>
      <c r="X249" s="74"/>
      <c r="Y249" s="74"/>
      <c r="Z249" s="74"/>
    </row>
    <row r="250">
      <c r="A250" s="74"/>
      <c r="B250" s="73"/>
      <c r="C250" s="73"/>
      <c r="D250" s="73"/>
      <c r="E250" s="73"/>
      <c r="F250" s="74"/>
      <c r="G250" s="74"/>
      <c r="H250" s="74"/>
      <c r="I250" s="74"/>
      <c r="J250" s="74"/>
      <c r="K250" s="74"/>
      <c r="L250" s="74"/>
      <c r="M250" s="74"/>
      <c r="N250" s="74"/>
      <c r="O250" s="74"/>
      <c r="P250" s="74"/>
      <c r="Q250" s="74"/>
      <c r="R250" s="74"/>
      <c r="S250" s="74"/>
      <c r="T250" s="74"/>
      <c r="U250" s="74"/>
      <c r="V250" s="74"/>
      <c r="W250" s="74"/>
      <c r="X250" s="74"/>
      <c r="Y250" s="74"/>
      <c r="Z250" s="74"/>
    </row>
    <row r="251">
      <c r="A251" s="74"/>
      <c r="B251" s="73"/>
      <c r="C251" s="73"/>
      <c r="D251" s="73"/>
      <c r="E251" s="73"/>
      <c r="F251" s="74"/>
      <c r="G251" s="74"/>
      <c r="H251" s="74"/>
      <c r="I251" s="74"/>
      <c r="J251" s="74"/>
      <c r="K251" s="74"/>
      <c r="L251" s="74"/>
      <c r="M251" s="74"/>
      <c r="N251" s="74"/>
      <c r="O251" s="74"/>
      <c r="P251" s="74"/>
      <c r="Q251" s="74"/>
      <c r="R251" s="74"/>
      <c r="S251" s="74"/>
      <c r="T251" s="74"/>
      <c r="U251" s="74"/>
      <c r="V251" s="74"/>
      <c r="W251" s="74"/>
      <c r="X251" s="74"/>
      <c r="Y251" s="74"/>
      <c r="Z251" s="74"/>
    </row>
    <row r="252">
      <c r="A252" s="74"/>
      <c r="B252" s="73"/>
      <c r="C252" s="73"/>
      <c r="D252" s="73"/>
      <c r="E252" s="73"/>
      <c r="F252" s="74"/>
      <c r="G252" s="74"/>
      <c r="H252" s="74"/>
      <c r="I252" s="74"/>
      <c r="J252" s="74"/>
      <c r="K252" s="74"/>
      <c r="L252" s="74"/>
      <c r="M252" s="74"/>
      <c r="N252" s="74"/>
      <c r="O252" s="74"/>
      <c r="P252" s="74"/>
      <c r="Q252" s="74"/>
      <c r="R252" s="74"/>
      <c r="S252" s="74"/>
      <c r="T252" s="74"/>
      <c r="U252" s="74"/>
      <c r="V252" s="74"/>
      <c r="W252" s="74"/>
      <c r="X252" s="74"/>
      <c r="Y252" s="74"/>
      <c r="Z252" s="74"/>
    </row>
    <row r="253">
      <c r="A253" s="74"/>
      <c r="B253" s="73"/>
      <c r="C253" s="73"/>
      <c r="D253" s="73"/>
      <c r="E253" s="73"/>
      <c r="F253" s="74"/>
      <c r="G253" s="74"/>
      <c r="H253" s="74"/>
      <c r="I253" s="74"/>
      <c r="J253" s="74"/>
      <c r="K253" s="74"/>
      <c r="L253" s="74"/>
      <c r="M253" s="74"/>
      <c r="N253" s="74"/>
      <c r="O253" s="74"/>
      <c r="P253" s="74"/>
      <c r="Q253" s="74"/>
      <c r="R253" s="74"/>
      <c r="S253" s="74"/>
      <c r="T253" s="74"/>
      <c r="U253" s="74"/>
      <c r="V253" s="74"/>
      <c r="W253" s="74"/>
      <c r="X253" s="74"/>
      <c r="Y253" s="74"/>
      <c r="Z253" s="74"/>
    </row>
    <row r="254">
      <c r="A254" s="74"/>
      <c r="B254" s="73"/>
      <c r="C254" s="73"/>
      <c r="D254" s="73"/>
      <c r="E254" s="73"/>
      <c r="F254" s="74"/>
      <c r="G254" s="74"/>
      <c r="H254" s="74"/>
      <c r="I254" s="74"/>
      <c r="J254" s="74"/>
      <c r="K254" s="74"/>
      <c r="L254" s="74"/>
      <c r="M254" s="74"/>
      <c r="N254" s="74"/>
      <c r="O254" s="74"/>
      <c r="P254" s="74"/>
      <c r="Q254" s="74"/>
      <c r="R254" s="74"/>
      <c r="S254" s="74"/>
      <c r="T254" s="74"/>
      <c r="U254" s="74"/>
      <c r="V254" s="74"/>
      <c r="W254" s="74"/>
      <c r="X254" s="74"/>
      <c r="Y254" s="74"/>
      <c r="Z254" s="74"/>
    </row>
    <row r="255">
      <c r="A255" s="74"/>
      <c r="B255" s="73"/>
      <c r="C255" s="73"/>
      <c r="D255" s="73"/>
      <c r="E255" s="73"/>
      <c r="F255" s="74"/>
      <c r="G255" s="74"/>
      <c r="H255" s="74"/>
      <c r="I255" s="74"/>
      <c r="J255" s="74"/>
      <c r="K255" s="74"/>
      <c r="L255" s="74"/>
      <c r="M255" s="74"/>
      <c r="N255" s="74"/>
      <c r="O255" s="74"/>
      <c r="P255" s="74"/>
      <c r="Q255" s="74"/>
      <c r="R255" s="74"/>
      <c r="S255" s="74"/>
      <c r="T255" s="74"/>
      <c r="U255" s="74"/>
      <c r="V255" s="74"/>
      <c r="W255" s="74"/>
      <c r="X255" s="74"/>
      <c r="Y255" s="74"/>
      <c r="Z255" s="74"/>
    </row>
    <row r="256">
      <c r="A256" s="74"/>
      <c r="B256" s="73"/>
      <c r="C256" s="73"/>
      <c r="D256" s="73"/>
      <c r="E256" s="73"/>
      <c r="F256" s="74"/>
      <c r="G256" s="74"/>
      <c r="H256" s="74"/>
      <c r="I256" s="74"/>
      <c r="J256" s="74"/>
      <c r="K256" s="74"/>
      <c r="L256" s="74"/>
      <c r="M256" s="74"/>
      <c r="N256" s="74"/>
      <c r="O256" s="74"/>
      <c r="P256" s="74"/>
      <c r="Q256" s="74"/>
      <c r="R256" s="74"/>
      <c r="S256" s="74"/>
      <c r="T256" s="74"/>
      <c r="U256" s="74"/>
      <c r="V256" s="74"/>
      <c r="W256" s="74"/>
      <c r="X256" s="74"/>
      <c r="Y256" s="74"/>
      <c r="Z256" s="74"/>
    </row>
    <row r="257">
      <c r="A257" s="74"/>
      <c r="B257" s="73"/>
      <c r="C257" s="73"/>
      <c r="D257" s="73"/>
      <c r="E257" s="73"/>
      <c r="F257" s="74"/>
      <c r="G257" s="74"/>
      <c r="H257" s="74"/>
      <c r="I257" s="74"/>
      <c r="J257" s="74"/>
      <c r="K257" s="74"/>
      <c r="L257" s="74"/>
      <c r="M257" s="74"/>
      <c r="N257" s="74"/>
      <c r="O257" s="74"/>
      <c r="P257" s="74"/>
      <c r="Q257" s="74"/>
      <c r="R257" s="74"/>
      <c r="S257" s="74"/>
      <c r="T257" s="74"/>
      <c r="U257" s="74"/>
      <c r="V257" s="74"/>
      <c r="W257" s="74"/>
      <c r="X257" s="74"/>
      <c r="Y257" s="74"/>
      <c r="Z257" s="74"/>
    </row>
    <row r="258">
      <c r="A258" s="74"/>
      <c r="B258" s="73"/>
      <c r="C258" s="73"/>
      <c r="D258" s="73"/>
      <c r="E258" s="73"/>
      <c r="F258" s="74"/>
      <c r="G258" s="74"/>
      <c r="H258" s="74"/>
      <c r="I258" s="74"/>
      <c r="J258" s="74"/>
      <c r="K258" s="74"/>
      <c r="L258" s="74"/>
      <c r="M258" s="74"/>
      <c r="N258" s="74"/>
      <c r="O258" s="74"/>
      <c r="P258" s="74"/>
      <c r="Q258" s="74"/>
      <c r="R258" s="74"/>
      <c r="S258" s="74"/>
      <c r="T258" s="74"/>
      <c r="U258" s="74"/>
      <c r="V258" s="74"/>
      <c r="W258" s="74"/>
      <c r="X258" s="74"/>
      <c r="Y258" s="74"/>
      <c r="Z258" s="74"/>
    </row>
    <row r="259">
      <c r="A259" s="74"/>
      <c r="B259" s="73"/>
      <c r="C259" s="73"/>
      <c r="D259" s="73"/>
      <c r="E259" s="73"/>
      <c r="F259" s="74"/>
      <c r="G259" s="74"/>
      <c r="H259" s="74"/>
      <c r="I259" s="74"/>
      <c r="J259" s="74"/>
      <c r="K259" s="74"/>
      <c r="L259" s="74"/>
      <c r="M259" s="74"/>
      <c r="N259" s="74"/>
      <c r="O259" s="74"/>
      <c r="P259" s="74"/>
      <c r="Q259" s="74"/>
      <c r="R259" s="74"/>
      <c r="S259" s="74"/>
      <c r="T259" s="74"/>
      <c r="U259" s="74"/>
      <c r="V259" s="74"/>
      <c r="W259" s="74"/>
      <c r="X259" s="74"/>
      <c r="Y259" s="74"/>
      <c r="Z259" s="74"/>
    </row>
    <row r="260">
      <c r="A260" s="74"/>
      <c r="B260" s="73"/>
      <c r="C260" s="73"/>
      <c r="D260" s="73"/>
      <c r="E260" s="73"/>
      <c r="F260" s="74"/>
      <c r="G260" s="74"/>
      <c r="H260" s="74"/>
      <c r="I260" s="74"/>
      <c r="J260" s="74"/>
      <c r="K260" s="74"/>
      <c r="L260" s="74"/>
      <c r="M260" s="74"/>
      <c r="N260" s="74"/>
      <c r="O260" s="74"/>
      <c r="P260" s="74"/>
      <c r="Q260" s="74"/>
      <c r="R260" s="74"/>
      <c r="S260" s="74"/>
      <c r="T260" s="74"/>
      <c r="U260" s="74"/>
      <c r="V260" s="74"/>
      <c r="W260" s="74"/>
      <c r="X260" s="74"/>
      <c r="Y260" s="74"/>
      <c r="Z260" s="74"/>
    </row>
    <row r="261">
      <c r="A261" s="74"/>
      <c r="B261" s="73"/>
      <c r="C261" s="73"/>
      <c r="D261" s="73"/>
      <c r="E261" s="73"/>
      <c r="F261" s="74"/>
      <c r="G261" s="74"/>
      <c r="H261" s="74"/>
      <c r="I261" s="74"/>
      <c r="J261" s="74"/>
      <c r="K261" s="74"/>
      <c r="L261" s="74"/>
      <c r="M261" s="74"/>
      <c r="N261" s="74"/>
      <c r="O261" s="74"/>
      <c r="P261" s="74"/>
      <c r="Q261" s="74"/>
      <c r="R261" s="74"/>
      <c r="S261" s="74"/>
      <c r="T261" s="74"/>
      <c r="U261" s="74"/>
      <c r="V261" s="74"/>
      <c r="W261" s="74"/>
      <c r="X261" s="74"/>
      <c r="Y261" s="74"/>
      <c r="Z261" s="74"/>
    </row>
    <row r="262">
      <c r="A262" s="74"/>
      <c r="B262" s="73"/>
      <c r="C262" s="73"/>
      <c r="D262" s="73"/>
      <c r="E262" s="73"/>
      <c r="F262" s="74"/>
      <c r="G262" s="74"/>
      <c r="H262" s="74"/>
      <c r="I262" s="74"/>
      <c r="J262" s="74"/>
      <c r="K262" s="74"/>
      <c r="L262" s="74"/>
      <c r="M262" s="74"/>
      <c r="N262" s="74"/>
      <c r="O262" s="74"/>
      <c r="P262" s="74"/>
      <c r="Q262" s="74"/>
      <c r="R262" s="74"/>
      <c r="S262" s="74"/>
      <c r="T262" s="74"/>
      <c r="U262" s="74"/>
      <c r="V262" s="74"/>
      <c r="W262" s="74"/>
      <c r="X262" s="74"/>
      <c r="Y262" s="74"/>
      <c r="Z262" s="74"/>
    </row>
    <row r="263">
      <c r="A263" s="74"/>
      <c r="B263" s="73"/>
      <c r="C263" s="73"/>
      <c r="D263" s="73"/>
      <c r="E263" s="73"/>
      <c r="F263" s="74"/>
      <c r="G263" s="74"/>
      <c r="H263" s="74"/>
      <c r="I263" s="74"/>
      <c r="J263" s="74"/>
      <c r="K263" s="74"/>
      <c r="L263" s="74"/>
      <c r="M263" s="74"/>
      <c r="N263" s="74"/>
      <c r="O263" s="74"/>
      <c r="P263" s="74"/>
      <c r="Q263" s="74"/>
      <c r="R263" s="74"/>
      <c r="S263" s="74"/>
      <c r="T263" s="74"/>
      <c r="U263" s="74"/>
      <c r="V263" s="74"/>
      <c r="W263" s="74"/>
      <c r="X263" s="74"/>
      <c r="Y263" s="74"/>
      <c r="Z263" s="74"/>
    </row>
    <row r="264">
      <c r="A264" s="74"/>
      <c r="B264" s="73"/>
      <c r="C264" s="73"/>
      <c r="D264" s="73"/>
      <c r="E264" s="73"/>
      <c r="F264" s="74"/>
      <c r="G264" s="74"/>
      <c r="H264" s="74"/>
      <c r="I264" s="74"/>
      <c r="J264" s="74"/>
      <c r="K264" s="74"/>
      <c r="L264" s="74"/>
      <c r="M264" s="74"/>
      <c r="N264" s="74"/>
      <c r="O264" s="74"/>
      <c r="P264" s="74"/>
      <c r="Q264" s="74"/>
      <c r="R264" s="74"/>
      <c r="S264" s="74"/>
      <c r="T264" s="74"/>
      <c r="U264" s="74"/>
      <c r="V264" s="74"/>
      <c r="W264" s="74"/>
      <c r="X264" s="74"/>
      <c r="Y264" s="74"/>
      <c r="Z264" s="74"/>
    </row>
    <row r="265">
      <c r="A265" s="74"/>
      <c r="B265" s="73"/>
      <c r="C265" s="73"/>
      <c r="D265" s="73"/>
      <c r="E265" s="73"/>
      <c r="F265" s="74"/>
      <c r="G265" s="74"/>
      <c r="H265" s="74"/>
      <c r="I265" s="74"/>
      <c r="J265" s="74"/>
      <c r="K265" s="74"/>
      <c r="L265" s="74"/>
      <c r="M265" s="74"/>
      <c r="N265" s="74"/>
      <c r="O265" s="74"/>
      <c r="P265" s="74"/>
      <c r="Q265" s="74"/>
      <c r="R265" s="74"/>
      <c r="S265" s="74"/>
      <c r="T265" s="74"/>
      <c r="U265" s="74"/>
      <c r="V265" s="74"/>
      <c r="W265" s="74"/>
      <c r="X265" s="74"/>
      <c r="Y265" s="74"/>
      <c r="Z265" s="74"/>
    </row>
    <row r="266">
      <c r="A266" s="74"/>
      <c r="B266" s="73"/>
      <c r="C266" s="73"/>
      <c r="D266" s="73"/>
      <c r="E266" s="73"/>
      <c r="F266" s="74"/>
      <c r="G266" s="74"/>
      <c r="H266" s="74"/>
      <c r="I266" s="74"/>
      <c r="J266" s="74"/>
      <c r="K266" s="74"/>
      <c r="L266" s="74"/>
      <c r="M266" s="74"/>
      <c r="N266" s="74"/>
      <c r="O266" s="74"/>
      <c r="P266" s="74"/>
      <c r="Q266" s="74"/>
      <c r="R266" s="74"/>
      <c r="S266" s="74"/>
      <c r="T266" s="74"/>
      <c r="U266" s="74"/>
      <c r="V266" s="74"/>
      <c r="W266" s="74"/>
      <c r="X266" s="74"/>
      <c r="Y266" s="74"/>
      <c r="Z266" s="74"/>
    </row>
    <row r="267">
      <c r="A267" s="74"/>
      <c r="B267" s="73"/>
      <c r="C267" s="73"/>
      <c r="D267" s="73"/>
      <c r="E267" s="73"/>
      <c r="F267" s="74"/>
      <c r="G267" s="74"/>
      <c r="H267" s="74"/>
      <c r="I267" s="74"/>
      <c r="J267" s="74"/>
      <c r="K267" s="74"/>
      <c r="L267" s="74"/>
      <c r="M267" s="74"/>
      <c r="N267" s="74"/>
      <c r="O267" s="74"/>
      <c r="P267" s="74"/>
      <c r="Q267" s="74"/>
      <c r="R267" s="74"/>
      <c r="S267" s="74"/>
      <c r="T267" s="74"/>
      <c r="U267" s="74"/>
      <c r="V267" s="74"/>
      <c r="W267" s="74"/>
      <c r="X267" s="74"/>
      <c r="Y267" s="74"/>
      <c r="Z267" s="74"/>
    </row>
    <row r="268">
      <c r="A268" s="74"/>
      <c r="B268" s="73"/>
      <c r="C268" s="73"/>
      <c r="D268" s="73"/>
      <c r="E268" s="73"/>
      <c r="F268" s="74"/>
      <c r="G268" s="74"/>
      <c r="H268" s="74"/>
      <c r="I268" s="74"/>
      <c r="J268" s="74"/>
      <c r="K268" s="74"/>
      <c r="L268" s="74"/>
      <c r="M268" s="74"/>
      <c r="N268" s="74"/>
      <c r="O268" s="74"/>
      <c r="P268" s="74"/>
      <c r="Q268" s="74"/>
      <c r="R268" s="74"/>
      <c r="S268" s="74"/>
      <c r="T268" s="74"/>
      <c r="U268" s="74"/>
      <c r="V268" s="74"/>
      <c r="W268" s="74"/>
      <c r="X268" s="74"/>
      <c r="Y268" s="74"/>
      <c r="Z268" s="74"/>
    </row>
    <row r="269">
      <c r="A269" s="74"/>
      <c r="B269" s="73"/>
      <c r="C269" s="73"/>
      <c r="D269" s="73"/>
      <c r="E269" s="73"/>
      <c r="F269" s="74"/>
      <c r="G269" s="74"/>
      <c r="H269" s="74"/>
      <c r="I269" s="74"/>
      <c r="J269" s="74"/>
      <c r="K269" s="74"/>
      <c r="L269" s="74"/>
      <c r="M269" s="74"/>
      <c r="N269" s="74"/>
      <c r="O269" s="74"/>
      <c r="P269" s="74"/>
      <c r="Q269" s="74"/>
      <c r="R269" s="74"/>
      <c r="S269" s="74"/>
      <c r="T269" s="74"/>
      <c r="U269" s="74"/>
      <c r="V269" s="74"/>
      <c r="W269" s="74"/>
      <c r="X269" s="74"/>
      <c r="Y269" s="74"/>
      <c r="Z269" s="74"/>
    </row>
    <row r="270">
      <c r="A270" s="74"/>
      <c r="B270" s="73"/>
      <c r="C270" s="73"/>
      <c r="D270" s="73"/>
      <c r="E270" s="73"/>
      <c r="F270" s="74"/>
      <c r="G270" s="74"/>
      <c r="H270" s="74"/>
      <c r="I270" s="74"/>
      <c r="J270" s="74"/>
      <c r="K270" s="74"/>
      <c r="L270" s="74"/>
      <c r="M270" s="74"/>
      <c r="N270" s="74"/>
      <c r="O270" s="74"/>
      <c r="P270" s="74"/>
      <c r="Q270" s="74"/>
      <c r="R270" s="74"/>
      <c r="S270" s="74"/>
      <c r="T270" s="74"/>
      <c r="U270" s="74"/>
      <c r="V270" s="74"/>
      <c r="W270" s="74"/>
      <c r="X270" s="74"/>
      <c r="Y270" s="74"/>
      <c r="Z270" s="74"/>
    </row>
    <row r="271">
      <c r="A271" s="74"/>
      <c r="B271" s="73"/>
      <c r="C271" s="73"/>
      <c r="D271" s="73"/>
      <c r="E271" s="73"/>
      <c r="F271" s="74"/>
      <c r="G271" s="74"/>
      <c r="H271" s="74"/>
      <c r="I271" s="74"/>
      <c r="J271" s="74"/>
      <c r="K271" s="74"/>
      <c r="L271" s="74"/>
      <c r="M271" s="74"/>
      <c r="N271" s="74"/>
      <c r="O271" s="74"/>
      <c r="P271" s="74"/>
      <c r="Q271" s="74"/>
      <c r="R271" s="74"/>
      <c r="S271" s="74"/>
      <c r="T271" s="74"/>
      <c r="U271" s="74"/>
      <c r="V271" s="74"/>
      <c r="W271" s="74"/>
      <c r="X271" s="74"/>
      <c r="Y271" s="74"/>
      <c r="Z271" s="74"/>
    </row>
    <row r="272">
      <c r="A272" s="74"/>
      <c r="B272" s="73"/>
      <c r="C272" s="73"/>
      <c r="D272" s="73"/>
      <c r="E272" s="73"/>
      <c r="F272" s="74"/>
      <c r="G272" s="74"/>
      <c r="H272" s="74"/>
      <c r="I272" s="74"/>
      <c r="J272" s="74"/>
      <c r="K272" s="74"/>
      <c r="L272" s="74"/>
      <c r="M272" s="74"/>
      <c r="N272" s="74"/>
      <c r="O272" s="74"/>
      <c r="P272" s="74"/>
      <c r="Q272" s="74"/>
      <c r="R272" s="74"/>
      <c r="S272" s="74"/>
      <c r="T272" s="74"/>
      <c r="U272" s="74"/>
      <c r="V272" s="74"/>
      <c r="W272" s="74"/>
      <c r="X272" s="74"/>
      <c r="Y272" s="74"/>
      <c r="Z272" s="74"/>
    </row>
    <row r="273">
      <c r="A273" s="74"/>
      <c r="B273" s="73"/>
      <c r="C273" s="73"/>
      <c r="D273" s="73"/>
      <c r="E273" s="73"/>
      <c r="F273" s="74"/>
      <c r="G273" s="74"/>
      <c r="H273" s="74"/>
      <c r="I273" s="74"/>
      <c r="J273" s="74"/>
      <c r="K273" s="74"/>
      <c r="L273" s="74"/>
      <c r="M273" s="74"/>
      <c r="N273" s="74"/>
      <c r="O273" s="74"/>
      <c r="P273" s="74"/>
      <c r="Q273" s="74"/>
      <c r="R273" s="74"/>
      <c r="S273" s="74"/>
      <c r="T273" s="74"/>
      <c r="U273" s="74"/>
      <c r="V273" s="74"/>
      <c r="W273" s="74"/>
      <c r="X273" s="74"/>
      <c r="Y273" s="74"/>
      <c r="Z273" s="74"/>
    </row>
    <row r="274">
      <c r="A274" s="74"/>
      <c r="B274" s="73"/>
      <c r="C274" s="73"/>
      <c r="D274" s="73"/>
      <c r="E274" s="73"/>
      <c r="F274" s="74"/>
      <c r="G274" s="74"/>
      <c r="H274" s="74"/>
      <c r="I274" s="74"/>
      <c r="J274" s="74"/>
      <c r="K274" s="74"/>
      <c r="L274" s="74"/>
      <c r="M274" s="74"/>
      <c r="N274" s="74"/>
      <c r="O274" s="74"/>
      <c r="P274" s="74"/>
      <c r="Q274" s="74"/>
      <c r="R274" s="74"/>
      <c r="S274" s="74"/>
      <c r="T274" s="74"/>
      <c r="U274" s="74"/>
      <c r="V274" s="74"/>
      <c r="W274" s="74"/>
      <c r="X274" s="74"/>
      <c r="Y274" s="74"/>
      <c r="Z274" s="74"/>
    </row>
    <row r="275">
      <c r="A275" s="74"/>
      <c r="B275" s="73"/>
      <c r="C275" s="73"/>
      <c r="D275" s="73"/>
      <c r="E275" s="73"/>
      <c r="F275" s="74"/>
      <c r="G275" s="74"/>
      <c r="H275" s="74"/>
      <c r="I275" s="74"/>
      <c r="J275" s="74"/>
      <c r="K275" s="74"/>
      <c r="L275" s="74"/>
      <c r="M275" s="74"/>
      <c r="N275" s="74"/>
      <c r="O275" s="74"/>
      <c r="P275" s="74"/>
      <c r="Q275" s="74"/>
      <c r="R275" s="74"/>
      <c r="S275" s="74"/>
      <c r="T275" s="74"/>
      <c r="U275" s="74"/>
      <c r="V275" s="74"/>
      <c r="W275" s="74"/>
      <c r="X275" s="74"/>
      <c r="Y275" s="74"/>
      <c r="Z275" s="74"/>
    </row>
    <row r="276">
      <c r="A276" s="74"/>
      <c r="B276" s="73"/>
      <c r="C276" s="73"/>
      <c r="D276" s="73"/>
      <c r="E276" s="73"/>
      <c r="F276" s="74"/>
      <c r="G276" s="74"/>
      <c r="H276" s="74"/>
      <c r="I276" s="74"/>
      <c r="J276" s="74"/>
      <c r="K276" s="74"/>
      <c r="L276" s="74"/>
      <c r="M276" s="74"/>
      <c r="N276" s="74"/>
      <c r="O276" s="74"/>
      <c r="P276" s="74"/>
      <c r="Q276" s="74"/>
      <c r="R276" s="74"/>
      <c r="S276" s="74"/>
      <c r="T276" s="74"/>
      <c r="U276" s="74"/>
      <c r="V276" s="74"/>
      <c r="W276" s="74"/>
      <c r="X276" s="74"/>
      <c r="Y276" s="74"/>
      <c r="Z276" s="74"/>
    </row>
    <row r="277">
      <c r="A277" s="74"/>
      <c r="B277" s="73"/>
      <c r="C277" s="73"/>
      <c r="D277" s="73"/>
      <c r="E277" s="73"/>
      <c r="F277" s="74"/>
      <c r="G277" s="74"/>
      <c r="H277" s="74"/>
      <c r="I277" s="74"/>
      <c r="J277" s="74"/>
      <c r="K277" s="74"/>
      <c r="L277" s="74"/>
      <c r="M277" s="74"/>
      <c r="N277" s="74"/>
      <c r="O277" s="74"/>
      <c r="P277" s="74"/>
      <c r="Q277" s="74"/>
      <c r="R277" s="74"/>
      <c r="S277" s="74"/>
      <c r="T277" s="74"/>
      <c r="U277" s="74"/>
      <c r="V277" s="74"/>
      <c r="W277" s="74"/>
      <c r="X277" s="74"/>
      <c r="Y277" s="74"/>
      <c r="Z277" s="74"/>
    </row>
    <row r="278">
      <c r="A278" s="74"/>
      <c r="B278" s="73"/>
      <c r="C278" s="73"/>
      <c r="D278" s="73"/>
      <c r="E278" s="73"/>
      <c r="F278" s="74"/>
      <c r="G278" s="74"/>
      <c r="H278" s="74"/>
      <c r="I278" s="74"/>
      <c r="J278" s="74"/>
      <c r="K278" s="74"/>
      <c r="L278" s="74"/>
      <c r="M278" s="74"/>
      <c r="N278" s="74"/>
      <c r="O278" s="74"/>
      <c r="P278" s="74"/>
      <c r="Q278" s="74"/>
      <c r="R278" s="74"/>
      <c r="S278" s="74"/>
      <c r="T278" s="74"/>
      <c r="U278" s="74"/>
      <c r="V278" s="74"/>
      <c r="W278" s="74"/>
      <c r="X278" s="74"/>
      <c r="Y278" s="74"/>
      <c r="Z278" s="74"/>
    </row>
    <row r="279">
      <c r="A279" s="74"/>
      <c r="B279" s="73"/>
      <c r="C279" s="73"/>
      <c r="D279" s="73"/>
      <c r="E279" s="73"/>
      <c r="F279" s="74"/>
      <c r="G279" s="74"/>
      <c r="H279" s="74"/>
      <c r="I279" s="74"/>
      <c r="J279" s="74"/>
      <c r="K279" s="74"/>
      <c r="L279" s="74"/>
      <c r="M279" s="74"/>
      <c r="N279" s="74"/>
      <c r="O279" s="74"/>
      <c r="P279" s="74"/>
      <c r="Q279" s="74"/>
      <c r="R279" s="74"/>
      <c r="S279" s="74"/>
      <c r="T279" s="74"/>
      <c r="U279" s="74"/>
      <c r="V279" s="74"/>
      <c r="W279" s="74"/>
      <c r="X279" s="74"/>
      <c r="Y279" s="74"/>
      <c r="Z279" s="74"/>
    </row>
    <row r="280">
      <c r="A280" s="74"/>
      <c r="B280" s="73"/>
      <c r="C280" s="73"/>
      <c r="D280" s="73"/>
      <c r="E280" s="73"/>
      <c r="F280" s="74"/>
      <c r="G280" s="74"/>
      <c r="H280" s="74"/>
      <c r="I280" s="74"/>
      <c r="J280" s="74"/>
      <c r="K280" s="74"/>
      <c r="L280" s="74"/>
      <c r="M280" s="74"/>
      <c r="N280" s="74"/>
      <c r="O280" s="74"/>
      <c r="P280" s="74"/>
      <c r="Q280" s="74"/>
      <c r="R280" s="74"/>
      <c r="S280" s="74"/>
      <c r="T280" s="74"/>
      <c r="U280" s="74"/>
      <c r="V280" s="74"/>
      <c r="W280" s="74"/>
      <c r="X280" s="74"/>
      <c r="Y280" s="74"/>
      <c r="Z280" s="74"/>
    </row>
    <row r="281">
      <c r="A281" s="74"/>
      <c r="B281" s="73"/>
      <c r="C281" s="73"/>
      <c r="D281" s="73"/>
      <c r="E281" s="73"/>
      <c r="F281" s="74"/>
      <c r="G281" s="74"/>
      <c r="H281" s="74"/>
      <c r="I281" s="74"/>
      <c r="J281" s="74"/>
      <c r="K281" s="74"/>
      <c r="L281" s="74"/>
      <c r="M281" s="74"/>
      <c r="N281" s="74"/>
      <c r="O281" s="74"/>
      <c r="P281" s="74"/>
      <c r="Q281" s="74"/>
      <c r="R281" s="74"/>
      <c r="S281" s="74"/>
      <c r="T281" s="74"/>
      <c r="U281" s="74"/>
      <c r="V281" s="74"/>
      <c r="W281" s="74"/>
      <c r="X281" s="74"/>
      <c r="Y281" s="74"/>
      <c r="Z281" s="74"/>
    </row>
    <row r="282">
      <c r="A282" s="74"/>
      <c r="B282" s="73"/>
      <c r="C282" s="73"/>
      <c r="D282" s="73"/>
      <c r="E282" s="73"/>
      <c r="F282" s="74"/>
      <c r="G282" s="74"/>
      <c r="H282" s="74"/>
      <c r="I282" s="74"/>
      <c r="J282" s="74"/>
      <c r="K282" s="74"/>
      <c r="L282" s="74"/>
      <c r="M282" s="74"/>
      <c r="N282" s="74"/>
      <c r="O282" s="74"/>
      <c r="P282" s="74"/>
      <c r="Q282" s="74"/>
      <c r="R282" s="74"/>
      <c r="S282" s="74"/>
      <c r="T282" s="74"/>
      <c r="U282" s="74"/>
      <c r="V282" s="74"/>
      <c r="W282" s="74"/>
      <c r="X282" s="74"/>
      <c r="Y282" s="74"/>
      <c r="Z282" s="74"/>
    </row>
    <row r="283">
      <c r="A283" s="74"/>
      <c r="B283" s="73"/>
      <c r="C283" s="73"/>
      <c r="D283" s="73"/>
      <c r="E283" s="73"/>
      <c r="F283" s="74"/>
      <c r="G283" s="74"/>
      <c r="H283" s="74"/>
      <c r="I283" s="74"/>
      <c r="J283" s="74"/>
      <c r="K283" s="74"/>
      <c r="L283" s="74"/>
      <c r="M283" s="74"/>
      <c r="N283" s="74"/>
      <c r="O283" s="74"/>
      <c r="P283" s="74"/>
      <c r="Q283" s="74"/>
      <c r="R283" s="74"/>
      <c r="S283" s="74"/>
      <c r="T283" s="74"/>
      <c r="U283" s="74"/>
      <c r="V283" s="74"/>
      <c r="W283" s="74"/>
      <c r="X283" s="74"/>
      <c r="Y283" s="74"/>
      <c r="Z283" s="74"/>
    </row>
    <row r="284">
      <c r="A284" s="74"/>
      <c r="B284" s="73"/>
      <c r="C284" s="73"/>
      <c r="D284" s="73"/>
      <c r="E284" s="73"/>
      <c r="F284" s="74"/>
      <c r="G284" s="74"/>
      <c r="H284" s="74"/>
      <c r="I284" s="74"/>
      <c r="J284" s="74"/>
      <c r="K284" s="74"/>
      <c r="L284" s="74"/>
      <c r="M284" s="74"/>
      <c r="N284" s="74"/>
      <c r="O284" s="74"/>
      <c r="P284" s="74"/>
      <c r="Q284" s="74"/>
      <c r="R284" s="74"/>
      <c r="S284" s="74"/>
      <c r="T284" s="74"/>
      <c r="U284" s="74"/>
      <c r="V284" s="74"/>
      <c r="W284" s="74"/>
      <c r="X284" s="74"/>
      <c r="Y284" s="74"/>
      <c r="Z284" s="74"/>
    </row>
    <row r="285">
      <c r="A285" s="74"/>
      <c r="B285" s="73"/>
      <c r="C285" s="73"/>
      <c r="D285" s="73"/>
      <c r="E285" s="73"/>
      <c r="F285" s="74"/>
      <c r="G285" s="74"/>
      <c r="H285" s="74"/>
      <c r="I285" s="74"/>
      <c r="J285" s="74"/>
      <c r="K285" s="74"/>
      <c r="L285" s="74"/>
      <c r="M285" s="74"/>
      <c r="N285" s="74"/>
      <c r="O285" s="74"/>
      <c r="P285" s="74"/>
      <c r="Q285" s="74"/>
      <c r="R285" s="74"/>
      <c r="S285" s="74"/>
      <c r="T285" s="74"/>
      <c r="U285" s="74"/>
      <c r="V285" s="74"/>
      <c r="W285" s="74"/>
      <c r="X285" s="74"/>
      <c r="Y285" s="74"/>
      <c r="Z285" s="74"/>
    </row>
    <row r="286">
      <c r="A286" s="74"/>
      <c r="B286" s="73"/>
      <c r="C286" s="73"/>
      <c r="D286" s="73"/>
      <c r="E286" s="73"/>
      <c r="F286" s="74"/>
      <c r="G286" s="74"/>
      <c r="H286" s="74"/>
      <c r="I286" s="74"/>
      <c r="J286" s="74"/>
      <c r="K286" s="74"/>
      <c r="L286" s="74"/>
      <c r="M286" s="74"/>
      <c r="N286" s="74"/>
      <c r="O286" s="74"/>
      <c r="P286" s="74"/>
      <c r="Q286" s="74"/>
      <c r="R286" s="74"/>
      <c r="S286" s="74"/>
      <c r="T286" s="74"/>
      <c r="U286" s="74"/>
      <c r="V286" s="74"/>
      <c r="W286" s="74"/>
      <c r="X286" s="74"/>
      <c r="Y286" s="74"/>
      <c r="Z286" s="74"/>
    </row>
    <row r="287">
      <c r="A287" s="74"/>
      <c r="B287" s="73"/>
      <c r="C287" s="73"/>
      <c r="D287" s="73"/>
      <c r="E287" s="73"/>
      <c r="F287" s="74"/>
      <c r="G287" s="74"/>
      <c r="H287" s="74"/>
      <c r="I287" s="74"/>
      <c r="J287" s="74"/>
      <c r="K287" s="74"/>
      <c r="L287" s="74"/>
      <c r="M287" s="74"/>
      <c r="N287" s="74"/>
      <c r="O287" s="74"/>
      <c r="P287" s="74"/>
      <c r="Q287" s="74"/>
      <c r="R287" s="74"/>
      <c r="S287" s="74"/>
      <c r="T287" s="74"/>
      <c r="U287" s="74"/>
      <c r="V287" s="74"/>
      <c r="W287" s="74"/>
      <c r="X287" s="74"/>
      <c r="Y287" s="74"/>
      <c r="Z287" s="74"/>
    </row>
    <row r="288">
      <c r="A288" s="74"/>
      <c r="B288" s="73"/>
      <c r="C288" s="73"/>
      <c r="D288" s="73"/>
      <c r="E288" s="73"/>
      <c r="F288" s="74"/>
      <c r="G288" s="74"/>
      <c r="H288" s="74"/>
      <c r="I288" s="74"/>
      <c r="J288" s="74"/>
      <c r="K288" s="74"/>
      <c r="L288" s="74"/>
      <c r="M288" s="74"/>
      <c r="N288" s="74"/>
      <c r="O288" s="74"/>
      <c r="P288" s="74"/>
      <c r="Q288" s="74"/>
      <c r="R288" s="74"/>
      <c r="S288" s="74"/>
      <c r="T288" s="74"/>
      <c r="U288" s="74"/>
      <c r="V288" s="74"/>
      <c r="W288" s="74"/>
      <c r="X288" s="74"/>
      <c r="Y288" s="74"/>
      <c r="Z288" s="74"/>
    </row>
    <row r="289">
      <c r="A289" s="74"/>
      <c r="B289" s="73"/>
      <c r="C289" s="73"/>
      <c r="D289" s="73"/>
      <c r="E289" s="73"/>
      <c r="F289" s="74"/>
      <c r="G289" s="74"/>
      <c r="H289" s="74"/>
      <c r="I289" s="74"/>
      <c r="J289" s="74"/>
      <c r="K289" s="74"/>
      <c r="L289" s="74"/>
      <c r="M289" s="74"/>
      <c r="N289" s="74"/>
      <c r="O289" s="74"/>
      <c r="P289" s="74"/>
      <c r="Q289" s="74"/>
      <c r="R289" s="74"/>
      <c r="S289" s="74"/>
      <c r="T289" s="74"/>
      <c r="U289" s="74"/>
      <c r="V289" s="74"/>
      <c r="W289" s="74"/>
      <c r="X289" s="74"/>
      <c r="Y289" s="74"/>
      <c r="Z289" s="74"/>
    </row>
    <row r="290">
      <c r="A290" s="74"/>
      <c r="B290" s="73"/>
      <c r="C290" s="73"/>
      <c r="D290" s="73"/>
      <c r="E290" s="73"/>
      <c r="F290" s="74"/>
      <c r="G290" s="74"/>
      <c r="H290" s="74"/>
      <c r="I290" s="74"/>
      <c r="J290" s="74"/>
      <c r="K290" s="74"/>
      <c r="L290" s="74"/>
      <c r="M290" s="74"/>
      <c r="N290" s="74"/>
      <c r="O290" s="74"/>
      <c r="P290" s="74"/>
      <c r="Q290" s="74"/>
      <c r="R290" s="74"/>
      <c r="S290" s="74"/>
      <c r="T290" s="74"/>
      <c r="U290" s="74"/>
      <c r="V290" s="74"/>
      <c r="W290" s="74"/>
      <c r="X290" s="74"/>
      <c r="Y290" s="74"/>
      <c r="Z290" s="74"/>
    </row>
    <row r="291">
      <c r="A291" s="74"/>
      <c r="B291" s="73"/>
      <c r="C291" s="73"/>
      <c r="D291" s="73"/>
      <c r="E291" s="73"/>
      <c r="F291" s="74"/>
      <c r="G291" s="74"/>
      <c r="H291" s="74"/>
      <c r="I291" s="74"/>
      <c r="J291" s="74"/>
      <c r="K291" s="74"/>
      <c r="L291" s="74"/>
      <c r="M291" s="74"/>
      <c r="N291" s="74"/>
      <c r="O291" s="74"/>
      <c r="P291" s="74"/>
      <c r="Q291" s="74"/>
      <c r="R291" s="74"/>
      <c r="S291" s="74"/>
      <c r="T291" s="74"/>
      <c r="U291" s="74"/>
      <c r="V291" s="74"/>
      <c r="W291" s="74"/>
      <c r="X291" s="74"/>
      <c r="Y291" s="74"/>
      <c r="Z291" s="74"/>
    </row>
    <row r="292">
      <c r="A292" s="74"/>
      <c r="B292" s="73"/>
      <c r="C292" s="73"/>
      <c r="D292" s="73"/>
      <c r="E292" s="73"/>
      <c r="F292" s="74"/>
      <c r="G292" s="74"/>
      <c r="H292" s="74"/>
      <c r="I292" s="74"/>
      <c r="J292" s="74"/>
      <c r="K292" s="74"/>
      <c r="L292" s="74"/>
      <c r="M292" s="74"/>
      <c r="N292" s="74"/>
      <c r="O292" s="74"/>
      <c r="P292" s="74"/>
      <c r="Q292" s="74"/>
      <c r="R292" s="74"/>
      <c r="S292" s="74"/>
      <c r="T292" s="74"/>
      <c r="U292" s="74"/>
      <c r="V292" s="74"/>
      <c r="W292" s="74"/>
      <c r="X292" s="74"/>
      <c r="Y292" s="74"/>
      <c r="Z292" s="74"/>
    </row>
    <row r="293">
      <c r="A293" s="74"/>
      <c r="B293" s="73"/>
      <c r="C293" s="73"/>
      <c r="D293" s="73"/>
      <c r="E293" s="73"/>
      <c r="F293" s="74"/>
      <c r="G293" s="74"/>
      <c r="H293" s="74"/>
      <c r="I293" s="74"/>
      <c r="J293" s="74"/>
      <c r="K293" s="74"/>
      <c r="L293" s="74"/>
      <c r="M293" s="74"/>
      <c r="N293" s="74"/>
      <c r="O293" s="74"/>
      <c r="P293" s="74"/>
      <c r="Q293" s="74"/>
      <c r="R293" s="74"/>
      <c r="S293" s="74"/>
      <c r="T293" s="74"/>
      <c r="U293" s="74"/>
      <c r="V293" s="74"/>
      <c r="W293" s="74"/>
      <c r="X293" s="74"/>
      <c r="Y293" s="74"/>
      <c r="Z293" s="74"/>
    </row>
    <row r="294">
      <c r="A294" s="74"/>
      <c r="B294" s="73"/>
      <c r="C294" s="73"/>
      <c r="D294" s="73"/>
      <c r="E294" s="73"/>
      <c r="F294" s="74"/>
      <c r="G294" s="74"/>
      <c r="H294" s="74"/>
      <c r="I294" s="74"/>
      <c r="J294" s="74"/>
      <c r="K294" s="74"/>
      <c r="L294" s="74"/>
      <c r="M294" s="74"/>
      <c r="N294" s="74"/>
      <c r="O294" s="74"/>
      <c r="P294" s="74"/>
      <c r="Q294" s="74"/>
      <c r="R294" s="74"/>
      <c r="S294" s="74"/>
      <c r="T294" s="74"/>
      <c r="U294" s="74"/>
      <c r="V294" s="74"/>
      <c r="W294" s="74"/>
      <c r="X294" s="74"/>
      <c r="Y294" s="74"/>
      <c r="Z294" s="74"/>
    </row>
    <row r="295">
      <c r="A295" s="74"/>
      <c r="B295" s="73"/>
      <c r="C295" s="73"/>
      <c r="D295" s="73"/>
      <c r="E295" s="73"/>
      <c r="F295" s="74"/>
      <c r="G295" s="74"/>
      <c r="H295" s="74"/>
      <c r="I295" s="74"/>
      <c r="J295" s="74"/>
      <c r="K295" s="74"/>
      <c r="L295" s="74"/>
      <c r="M295" s="74"/>
      <c r="N295" s="74"/>
      <c r="O295" s="74"/>
      <c r="P295" s="74"/>
      <c r="Q295" s="74"/>
      <c r="R295" s="74"/>
      <c r="S295" s="74"/>
      <c r="T295" s="74"/>
      <c r="U295" s="74"/>
      <c r="V295" s="74"/>
      <c r="W295" s="74"/>
      <c r="X295" s="74"/>
      <c r="Y295" s="74"/>
      <c r="Z295" s="74"/>
    </row>
    <row r="296">
      <c r="A296" s="74"/>
      <c r="B296" s="73"/>
      <c r="C296" s="73"/>
      <c r="D296" s="73"/>
      <c r="E296" s="73"/>
      <c r="F296" s="74"/>
      <c r="G296" s="74"/>
      <c r="H296" s="74"/>
      <c r="I296" s="74"/>
      <c r="J296" s="74"/>
      <c r="K296" s="74"/>
      <c r="L296" s="74"/>
      <c r="M296" s="74"/>
      <c r="N296" s="74"/>
      <c r="O296" s="74"/>
      <c r="P296" s="74"/>
      <c r="Q296" s="74"/>
      <c r="R296" s="74"/>
      <c r="S296" s="74"/>
      <c r="T296" s="74"/>
      <c r="U296" s="74"/>
      <c r="V296" s="74"/>
      <c r="W296" s="74"/>
      <c r="X296" s="74"/>
      <c r="Y296" s="74"/>
      <c r="Z296" s="74"/>
    </row>
    <row r="297">
      <c r="A297" s="74"/>
      <c r="B297" s="73"/>
      <c r="C297" s="73"/>
      <c r="D297" s="73"/>
      <c r="E297" s="73"/>
      <c r="F297" s="74"/>
      <c r="G297" s="74"/>
      <c r="H297" s="74"/>
      <c r="I297" s="74"/>
      <c r="J297" s="74"/>
      <c r="K297" s="74"/>
      <c r="L297" s="74"/>
      <c r="M297" s="74"/>
      <c r="N297" s="74"/>
      <c r="O297" s="74"/>
      <c r="P297" s="74"/>
      <c r="Q297" s="74"/>
      <c r="R297" s="74"/>
      <c r="S297" s="74"/>
      <c r="T297" s="74"/>
      <c r="U297" s="74"/>
      <c r="V297" s="74"/>
      <c r="W297" s="74"/>
      <c r="X297" s="74"/>
      <c r="Y297" s="74"/>
      <c r="Z297" s="74"/>
    </row>
    <row r="298">
      <c r="A298" s="74"/>
      <c r="B298" s="73"/>
      <c r="C298" s="73"/>
      <c r="D298" s="73"/>
      <c r="E298" s="73"/>
      <c r="F298" s="74"/>
      <c r="G298" s="74"/>
      <c r="H298" s="74"/>
      <c r="I298" s="74"/>
      <c r="J298" s="74"/>
      <c r="K298" s="74"/>
      <c r="L298" s="74"/>
      <c r="M298" s="74"/>
      <c r="N298" s="74"/>
      <c r="O298" s="74"/>
      <c r="P298" s="74"/>
      <c r="Q298" s="74"/>
      <c r="R298" s="74"/>
      <c r="S298" s="74"/>
      <c r="T298" s="74"/>
      <c r="U298" s="74"/>
      <c r="V298" s="74"/>
      <c r="W298" s="74"/>
      <c r="X298" s="74"/>
      <c r="Y298" s="74"/>
      <c r="Z298" s="74"/>
    </row>
    <row r="299">
      <c r="A299" s="74"/>
      <c r="B299" s="73"/>
      <c r="C299" s="73"/>
      <c r="D299" s="73"/>
      <c r="E299" s="73"/>
      <c r="F299" s="74"/>
      <c r="G299" s="74"/>
      <c r="H299" s="74"/>
      <c r="I299" s="74"/>
      <c r="J299" s="74"/>
      <c r="K299" s="74"/>
      <c r="L299" s="74"/>
      <c r="M299" s="74"/>
      <c r="N299" s="74"/>
      <c r="O299" s="74"/>
      <c r="P299" s="74"/>
      <c r="Q299" s="74"/>
      <c r="R299" s="74"/>
      <c r="S299" s="74"/>
      <c r="T299" s="74"/>
      <c r="U299" s="74"/>
      <c r="V299" s="74"/>
      <c r="W299" s="74"/>
      <c r="X299" s="74"/>
      <c r="Y299" s="74"/>
      <c r="Z299" s="74"/>
    </row>
    <row r="300">
      <c r="A300" s="74"/>
      <c r="B300" s="73"/>
      <c r="C300" s="73"/>
      <c r="D300" s="73"/>
      <c r="E300" s="73"/>
      <c r="F300" s="74"/>
      <c r="G300" s="74"/>
      <c r="H300" s="74"/>
      <c r="I300" s="74"/>
      <c r="J300" s="74"/>
      <c r="K300" s="74"/>
      <c r="L300" s="74"/>
      <c r="M300" s="74"/>
      <c r="N300" s="74"/>
      <c r="O300" s="74"/>
      <c r="P300" s="74"/>
      <c r="Q300" s="74"/>
      <c r="R300" s="74"/>
      <c r="S300" s="74"/>
      <c r="T300" s="74"/>
      <c r="U300" s="74"/>
      <c r="V300" s="74"/>
      <c r="W300" s="74"/>
      <c r="X300" s="74"/>
      <c r="Y300" s="74"/>
      <c r="Z300" s="74"/>
    </row>
    <row r="301">
      <c r="A301" s="74"/>
      <c r="B301" s="73"/>
      <c r="C301" s="73"/>
      <c r="D301" s="73"/>
      <c r="E301" s="73"/>
      <c r="F301" s="74"/>
      <c r="G301" s="74"/>
      <c r="H301" s="74"/>
      <c r="I301" s="74"/>
      <c r="J301" s="74"/>
      <c r="K301" s="74"/>
      <c r="L301" s="74"/>
      <c r="M301" s="74"/>
      <c r="N301" s="74"/>
      <c r="O301" s="74"/>
      <c r="P301" s="74"/>
      <c r="Q301" s="74"/>
      <c r="R301" s="74"/>
      <c r="S301" s="74"/>
      <c r="T301" s="74"/>
      <c r="U301" s="74"/>
      <c r="V301" s="74"/>
      <c r="W301" s="74"/>
      <c r="X301" s="74"/>
      <c r="Y301" s="74"/>
      <c r="Z301" s="74"/>
    </row>
    <row r="302">
      <c r="A302" s="74"/>
      <c r="B302" s="73"/>
      <c r="C302" s="73"/>
      <c r="D302" s="73"/>
      <c r="E302" s="73"/>
      <c r="F302" s="74"/>
      <c r="G302" s="74"/>
      <c r="H302" s="74"/>
      <c r="I302" s="74"/>
      <c r="J302" s="74"/>
      <c r="K302" s="74"/>
      <c r="L302" s="74"/>
      <c r="M302" s="74"/>
      <c r="N302" s="74"/>
      <c r="O302" s="74"/>
      <c r="P302" s="74"/>
      <c r="Q302" s="74"/>
      <c r="R302" s="74"/>
      <c r="S302" s="74"/>
      <c r="T302" s="74"/>
      <c r="U302" s="74"/>
      <c r="V302" s="74"/>
      <c r="W302" s="74"/>
      <c r="X302" s="74"/>
      <c r="Y302" s="74"/>
      <c r="Z302" s="74"/>
    </row>
    <row r="303">
      <c r="A303" s="74"/>
      <c r="B303" s="73"/>
      <c r="C303" s="73"/>
      <c r="D303" s="73"/>
      <c r="E303" s="73"/>
      <c r="F303" s="74"/>
      <c r="G303" s="74"/>
      <c r="H303" s="74"/>
      <c r="I303" s="74"/>
      <c r="J303" s="74"/>
      <c r="K303" s="74"/>
      <c r="L303" s="74"/>
      <c r="M303" s="74"/>
      <c r="N303" s="74"/>
      <c r="O303" s="74"/>
      <c r="P303" s="74"/>
      <c r="Q303" s="74"/>
      <c r="R303" s="74"/>
      <c r="S303" s="74"/>
      <c r="T303" s="74"/>
      <c r="U303" s="74"/>
      <c r="V303" s="74"/>
      <c r="W303" s="74"/>
      <c r="X303" s="74"/>
      <c r="Y303" s="74"/>
      <c r="Z303" s="74"/>
    </row>
    <row r="304">
      <c r="A304" s="74"/>
      <c r="B304" s="73"/>
      <c r="C304" s="73"/>
      <c r="D304" s="73"/>
      <c r="E304" s="73"/>
      <c r="F304" s="74"/>
      <c r="G304" s="74"/>
      <c r="H304" s="74"/>
      <c r="I304" s="74"/>
      <c r="J304" s="74"/>
      <c r="K304" s="74"/>
      <c r="L304" s="74"/>
      <c r="M304" s="74"/>
      <c r="N304" s="74"/>
      <c r="O304" s="74"/>
      <c r="P304" s="74"/>
      <c r="Q304" s="74"/>
      <c r="R304" s="74"/>
      <c r="S304" s="74"/>
      <c r="T304" s="74"/>
      <c r="U304" s="74"/>
      <c r="V304" s="74"/>
      <c r="W304" s="74"/>
      <c r="X304" s="74"/>
      <c r="Y304" s="74"/>
      <c r="Z304" s="74"/>
    </row>
    <row r="305">
      <c r="A305" s="74"/>
      <c r="B305" s="73"/>
      <c r="C305" s="73"/>
      <c r="D305" s="73"/>
      <c r="E305" s="73"/>
      <c r="F305" s="74"/>
      <c r="G305" s="74"/>
      <c r="H305" s="74"/>
      <c r="I305" s="74"/>
      <c r="J305" s="74"/>
      <c r="K305" s="74"/>
      <c r="L305" s="74"/>
      <c r="M305" s="74"/>
      <c r="N305" s="74"/>
      <c r="O305" s="74"/>
      <c r="P305" s="74"/>
      <c r="Q305" s="74"/>
      <c r="R305" s="74"/>
      <c r="S305" s="74"/>
      <c r="T305" s="74"/>
      <c r="U305" s="74"/>
      <c r="V305" s="74"/>
      <c r="W305" s="74"/>
      <c r="X305" s="74"/>
      <c r="Y305" s="74"/>
      <c r="Z305" s="74"/>
    </row>
    <row r="306">
      <c r="A306" s="74"/>
      <c r="B306" s="73"/>
      <c r="C306" s="73"/>
      <c r="D306" s="73"/>
      <c r="E306" s="73"/>
      <c r="F306" s="74"/>
      <c r="G306" s="74"/>
      <c r="H306" s="74"/>
      <c r="I306" s="74"/>
      <c r="J306" s="74"/>
      <c r="K306" s="74"/>
      <c r="L306" s="74"/>
      <c r="M306" s="74"/>
      <c r="N306" s="74"/>
      <c r="O306" s="74"/>
      <c r="P306" s="74"/>
      <c r="Q306" s="74"/>
      <c r="R306" s="74"/>
      <c r="S306" s="74"/>
      <c r="T306" s="74"/>
      <c r="U306" s="74"/>
      <c r="V306" s="74"/>
      <c r="W306" s="74"/>
      <c r="X306" s="74"/>
      <c r="Y306" s="74"/>
      <c r="Z306" s="74"/>
    </row>
    <row r="307">
      <c r="A307" s="74"/>
      <c r="B307" s="73"/>
      <c r="C307" s="73"/>
      <c r="D307" s="73"/>
      <c r="E307" s="73"/>
      <c r="F307" s="74"/>
      <c r="G307" s="74"/>
      <c r="H307" s="74"/>
      <c r="I307" s="74"/>
      <c r="J307" s="74"/>
      <c r="K307" s="74"/>
      <c r="L307" s="74"/>
      <c r="M307" s="74"/>
      <c r="N307" s="74"/>
      <c r="O307" s="74"/>
      <c r="P307" s="74"/>
      <c r="Q307" s="74"/>
      <c r="R307" s="74"/>
      <c r="S307" s="74"/>
      <c r="T307" s="74"/>
      <c r="U307" s="74"/>
      <c r="V307" s="74"/>
      <c r="W307" s="74"/>
      <c r="X307" s="74"/>
      <c r="Y307" s="74"/>
      <c r="Z307" s="74"/>
    </row>
    <row r="308">
      <c r="A308" s="74"/>
      <c r="B308" s="73"/>
      <c r="C308" s="73"/>
      <c r="D308" s="73"/>
      <c r="E308" s="73"/>
      <c r="F308" s="74"/>
      <c r="G308" s="74"/>
      <c r="H308" s="74"/>
      <c r="I308" s="74"/>
      <c r="J308" s="74"/>
      <c r="K308" s="74"/>
      <c r="L308" s="74"/>
      <c r="M308" s="74"/>
      <c r="N308" s="74"/>
      <c r="O308" s="74"/>
      <c r="P308" s="74"/>
      <c r="Q308" s="74"/>
      <c r="R308" s="74"/>
      <c r="S308" s="74"/>
      <c r="T308" s="74"/>
      <c r="U308" s="74"/>
      <c r="V308" s="74"/>
      <c r="W308" s="74"/>
      <c r="X308" s="74"/>
      <c r="Y308" s="74"/>
      <c r="Z308" s="74"/>
    </row>
    <row r="309">
      <c r="A309" s="74"/>
      <c r="B309" s="73"/>
      <c r="C309" s="73"/>
      <c r="D309" s="73"/>
      <c r="E309" s="73"/>
      <c r="F309" s="74"/>
      <c r="G309" s="74"/>
      <c r="H309" s="74"/>
      <c r="I309" s="74"/>
      <c r="J309" s="74"/>
      <c r="K309" s="74"/>
      <c r="L309" s="74"/>
      <c r="M309" s="74"/>
      <c r="N309" s="74"/>
      <c r="O309" s="74"/>
      <c r="P309" s="74"/>
      <c r="Q309" s="74"/>
      <c r="R309" s="74"/>
      <c r="S309" s="74"/>
      <c r="T309" s="74"/>
      <c r="U309" s="74"/>
      <c r="V309" s="74"/>
      <c r="W309" s="74"/>
      <c r="X309" s="74"/>
      <c r="Y309" s="74"/>
      <c r="Z309" s="74"/>
    </row>
    <row r="310">
      <c r="A310" s="74"/>
      <c r="B310" s="73"/>
      <c r="C310" s="73"/>
      <c r="D310" s="73"/>
      <c r="E310" s="73"/>
      <c r="F310" s="74"/>
      <c r="G310" s="74"/>
      <c r="H310" s="74"/>
      <c r="I310" s="74"/>
      <c r="J310" s="74"/>
      <c r="K310" s="74"/>
      <c r="L310" s="74"/>
      <c r="M310" s="74"/>
      <c r="N310" s="74"/>
      <c r="O310" s="74"/>
      <c r="P310" s="74"/>
      <c r="Q310" s="74"/>
      <c r="R310" s="74"/>
      <c r="S310" s="74"/>
      <c r="T310" s="74"/>
      <c r="U310" s="74"/>
      <c r="V310" s="74"/>
      <c r="W310" s="74"/>
      <c r="X310" s="74"/>
      <c r="Y310" s="74"/>
      <c r="Z310" s="74"/>
    </row>
    <row r="311">
      <c r="A311" s="74"/>
      <c r="B311" s="73"/>
      <c r="C311" s="73"/>
      <c r="D311" s="73"/>
      <c r="E311" s="73"/>
      <c r="F311" s="74"/>
      <c r="G311" s="74"/>
      <c r="H311" s="74"/>
      <c r="I311" s="74"/>
      <c r="J311" s="74"/>
      <c r="K311" s="74"/>
      <c r="L311" s="74"/>
      <c r="M311" s="74"/>
      <c r="N311" s="74"/>
      <c r="O311" s="74"/>
      <c r="P311" s="74"/>
      <c r="Q311" s="74"/>
      <c r="R311" s="74"/>
      <c r="S311" s="74"/>
      <c r="T311" s="74"/>
      <c r="U311" s="74"/>
      <c r="V311" s="74"/>
      <c r="W311" s="74"/>
      <c r="X311" s="74"/>
      <c r="Y311" s="74"/>
      <c r="Z311" s="74"/>
    </row>
    <row r="312">
      <c r="A312" s="74"/>
      <c r="B312" s="73"/>
      <c r="C312" s="73"/>
      <c r="D312" s="73"/>
      <c r="E312" s="73"/>
      <c r="F312" s="74"/>
      <c r="G312" s="74"/>
      <c r="H312" s="74"/>
      <c r="I312" s="74"/>
      <c r="J312" s="74"/>
      <c r="K312" s="74"/>
      <c r="L312" s="74"/>
      <c r="M312" s="74"/>
      <c r="N312" s="74"/>
      <c r="O312" s="74"/>
      <c r="P312" s="74"/>
      <c r="Q312" s="74"/>
      <c r="R312" s="74"/>
      <c r="S312" s="74"/>
      <c r="T312" s="74"/>
      <c r="U312" s="74"/>
      <c r="V312" s="74"/>
      <c r="W312" s="74"/>
      <c r="X312" s="74"/>
      <c r="Y312" s="74"/>
      <c r="Z312" s="74"/>
    </row>
    <row r="313">
      <c r="A313" s="74"/>
      <c r="B313" s="73"/>
      <c r="C313" s="73"/>
      <c r="D313" s="73"/>
      <c r="E313" s="73"/>
      <c r="F313" s="74"/>
      <c r="G313" s="74"/>
      <c r="H313" s="74"/>
      <c r="I313" s="74"/>
      <c r="J313" s="74"/>
      <c r="K313" s="74"/>
      <c r="L313" s="74"/>
      <c r="M313" s="74"/>
      <c r="N313" s="74"/>
      <c r="O313" s="74"/>
      <c r="P313" s="74"/>
      <c r="Q313" s="74"/>
      <c r="R313" s="74"/>
      <c r="S313" s="74"/>
      <c r="T313" s="74"/>
      <c r="U313" s="74"/>
      <c r="V313" s="74"/>
      <c r="W313" s="74"/>
      <c r="X313" s="74"/>
      <c r="Y313" s="74"/>
      <c r="Z313" s="74"/>
    </row>
    <row r="314">
      <c r="A314" s="74"/>
      <c r="B314" s="73"/>
      <c r="C314" s="73"/>
      <c r="D314" s="73"/>
      <c r="E314" s="73"/>
      <c r="F314" s="74"/>
      <c r="G314" s="74"/>
      <c r="H314" s="74"/>
      <c r="I314" s="74"/>
      <c r="J314" s="74"/>
      <c r="K314" s="74"/>
      <c r="L314" s="74"/>
      <c r="M314" s="74"/>
      <c r="N314" s="74"/>
      <c r="O314" s="74"/>
      <c r="P314" s="74"/>
      <c r="Q314" s="74"/>
      <c r="R314" s="74"/>
      <c r="S314" s="74"/>
      <c r="T314" s="74"/>
      <c r="U314" s="74"/>
      <c r="V314" s="74"/>
      <c r="W314" s="74"/>
      <c r="X314" s="74"/>
      <c r="Y314" s="74"/>
      <c r="Z314" s="74"/>
    </row>
    <row r="315">
      <c r="A315" s="74"/>
      <c r="B315" s="73"/>
      <c r="C315" s="73"/>
      <c r="D315" s="73"/>
      <c r="E315" s="73"/>
      <c r="F315" s="74"/>
      <c r="G315" s="74"/>
      <c r="H315" s="74"/>
      <c r="I315" s="74"/>
      <c r="J315" s="74"/>
      <c r="K315" s="74"/>
      <c r="L315" s="74"/>
      <c r="M315" s="74"/>
      <c r="N315" s="74"/>
      <c r="O315" s="74"/>
      <c r="P315" s="74"/>
      <c r="Q315" s="74"/>
      <c r="R315" s="74"/>
      <c r="S315" s="74"/>
      <c r="T315" s="74"/>
      <c r="U315" s="74"/>
      <c r="V315" s="74"/>
      <c r="W315" s="74"/>
      <c r="X315" s="74"/>
      <c r="Y315" s="74"/>
      <c r="Z315" s="74"/>
    </row>
    <row r="316">
      <c r="A316" s="74"/>
      <c r="B316" s="73"/>
      <c r="C316" s="73"/>
      <c r="D316" s="73"/>
      <c r="E316" s="73"/>
      <c r="F316" s="74"/>
      <c r="G316" s="74"/>
      <c r="H316" s="74"/>
      <c r="I316" s="74"/>
      <c r="J316" s="74"/>
      <c r="K316" s="74"/>
      <c r="L316" s="74"/>
      <c r="M316" s="74"/>
      <c r="N316" s="74"/>
      <c r="O316" s="74"/>
      <c r="P316" s="74"/>
      <c r="Q316" s="74"/>
      <c r="R316" s="74"/>
      <c r="S316" s="74"/>
      <c r="T316" s="74"/>
      <c r="U316" s="74"/>
      <c r="V316" s="74"/>
      <c r="W316" s="74"/>
      <c r="X316" s="74"/>
      <c r="Y316" s="74"/>
      <c r="Z316" s="74"/>
    </row>
    <row r="317">
      <c r="A317" s="74"/>
      <c r="B317" s="73"/>
      <c r="C317" s="73"/>
      <c r="D317" s="73"/>
      <c r="E317" s="73"/>
      <c r="F317" s="74"/>
      <c r="G317" s="74"/>
      <c r="H317" s="74"/>
      <c r="I317" s="74"/>
      <c r="J317" s="74"/>
      <c r="K317" s="74"/>
      <c r="L317" s="74"/>
      <c r="M317" s="74"/>
      <c r="N317" s="74"/>
      <c r="O317" s="74"/>
      <c r="P317" s="74"/>
      <c r="Q317" s="74"/>
      <c r="R317" s="74"/>
      <c r="S317" s="74"/>
      <c r="T317" s="74"/>
      <c r="U317" s="74"/>
      <c r="V317" s="74"/>
      <c r="W317" s="74"/>
      <c r="X317" s="74"/>
      <c r="Y317" s="74"/>
      <c r="Z317" s="74"/>
    </row>
    <row r="318">
      <c r="A318" s="74"/>
      <c r="B318" s="73"/>
      <c r="C318" s="73"/>
      <c r="D318" s="73"/>
      <c r="E318" s="73"/>
      <c r="F318" s="74"/>
      <c r="G318" s="74"/>
      <c r="H318" s="74"/>
      <c r="I318" s="74"/>
      <c r="J318" s="74"/>
      <c r="K318" s="74"/>
      <c r="L318" s="74"/>
      <c r="M318" s="74"/>
      <c r="N318" s="74"/>
      <c r="O318" s="74"/>
      <c r="P318" s="74"/>
      <c r="Q318" s="74"/>
      <c r="R318" s="74"/>
      <c r="S318" s="74"/>
      <c r="T318" s="74"/>
      <c r="U318" s="74"/>
      <c r="V318" s="74"/>
      <c r="W318" s="74"/>
      <c r="X318" s="74"/>
      <c r="Y318" s="74"/>
      <c r="Z318" s="74"/>
    </row>
    <row r="319">
      <c r="A319" s="74"/>
      <c r="B319" s="73"/>
      <c r="C319" s="73"/>
      <c r="D319" s="73"/>
      <c r="E319" s="73"/>
      <c r="F319" s="74"/>
      <c r="G319" s="74"/>
      <c r="H319" s="74"/>
      <c r="I319" s="74"/>
      <c r="J319" s="74"/>
      <c r="K319" s="74"/>
      <c r="L319" s="74"/>
      <c r="M319" s="74"/>
      <c r="N319" s="74"/>
      <c r="O319" s="74"/>
      <c r="P319" s="74"/>
      <c r="Q319" s="74"/>
      <c r="R319" s="74"/>
      <c r="S319" s="74"/>
      <c r="T319" s="74"/>
      <c r="U319" s="74"/>
      <c r="V319" s="74"/>
      <c r="W319" s="74"/>
      <c r="X319" s="74"/>
      <c r="Y319" s="74"/>
      <c r="Z319" s="74"/>
    </row>
    <row r="320">
      <c r="A320" s="74"/>
      <c r="B320" s="73"/>
      <c r="C320" s="73"/>
      <c r="D320" s="73"/>
      <c r="E320" s="73"/>
      <c r="F320" s="74"/>
      <c r="G320" s="74"/>
      <c r="H320" s="74"/>
      <c r="I320" s="74"/>
      <c r="J320" s="74"/>
      <c r="K320" s="74"/>
      <c r="L320" s="74"/>
      <c r="M320" s="74"/>
      <c r="N320" s="74"/>
      <c r="O320" s="74"/>
      <c r="P320" s="74"/>
      <c r="Q320" s="74"/>
      <c r="R320" s="74"/>
      <c r="S320" s="74"/>
      <c r="T320" s="74"/>
      <c r="U320" s="74"/>
      <c r="V320" s="74"/>
      <c r="W320" s="74"/>
      <c r="X320" s="74"/>
      <c r="Y320" s="74"/>
      <c r="Z320" s="74"/>
    </row>
    <row r="321">
      <c r="A321" s="74"/>
      <c r="B321" s="73"/>
      <c r="C321" s="73"/>
      <c r="D321" s="73"/>
      <c r="E321" s="73"/>
      <c r="F321" s="74"/>
      <c r="G321" s="74"/>
      <c r="H321" s="74"/>
      <c r="I321" s="74"/>
      <c r="J321" s="74"/>
      <c r="K321" s="74"/>
      <c r="L321" s="74"/>
      <c r="M321" s="74"/>
      <c r="N321" s="74"/>
      <c r="O321" s="74"/>
      <c r="P321" s="74"/>
      <c r="Q321" s="74"/>
      <c r="R321" s="74"/>
      <c r="S321" s="74"/>
      <c r="T321" s="74"/>
      <c r="U321" s="74"/>
      <c r="V321" s="74"/>
      <c r="W321" s="74"/>
      <c r="X321" s="74"/>
      <c r="Y321" s="74"/>
      <c r="Z321" s="74"/>
    </row>
    <row r="322">
      <c r="A322" s="74"/>
      <c r="B322" s="73"/>
      <c r="C322" s="73"/>
      <c r="D322" s="73"/>
      <c r="E322" s="73"/>
      <c r="F322" s="74"/>
      <c r="G322" s="74"/>
      <c r="H322" s="74"/>
      <c r="I322" s="74"/>
      <c r="J322" s="74"/>
      <c r="K322" s="74"/>
      <c r="L322" s="74"/>
      <c r="M322" s="74"/>
      <c r="N322" s="74"/>
      <c r="O322" s="74"/>
      <c r="P322" s="74"/>
      <c r="Q322" s="74"/>
      <c r="R322" s="74"/>
      <c r="S322" s="74"/>
      <c r="T322" s="74"/>
      <c r="U322" s="74"/>
      <c r="V322" s="74"/>
      <c r="W322" s="74"/>
      <c r="X322" s="74"/>
      <c r="Y322" s="74"/>
      <c r="Z322" s="74"/>
    </row>
    <row r="323">
      <c r="A323" s="74"/>
      <c r="B323" s="73"/>
      <c r="C323" s="73"/>
      <c r="D323" s="73"/>
      <c r="E323" s="73"/>
      <c r="F323" s="74"/>
      <c r="G323" s="74"/>
      <c r="H323" s="74"/>
      <c r="I323" s="74"/>
      <c r="J323" s="74"/>
      <c r="K323" s="74"/>
      <c r="L323" s="74"/>
      <c r="M323" s="74"/>
      <c r="N323" s="74"/>
      <c r="O323" s="74"/>
      <c r="P323" s="74"/>
      <c r="Q323" s="74"/>
      <c r="R323" s="74"/>
      <c r="S323" s="74"/>
      <c r="T323" s="74"/>
      <c r="U323" s="74"/>
      <c r="V323" s="74"/>
      <c r="W323" s="74"/>
      <c r="X323" s="74"/>
      <c r="Y323" s="74"/>
      <c r="Z323" s="74"/>
    </row>
    <row r="324">
      <c r="A324" s="74"/>
      <c r="B324" s="73"/>
      <c r="C324" s="73"/>
      <c r="D324" s="73"/>
      <c r="E324" s="73"/>
      <c r="F324" s="74"/>
      <c r="G324" s="74"/>
      <c r="H324" s="74"/>
      <c r="I324" s="74"/>
      <c r="J324" s="74"/>
      <c r="K324" s="74"/>
      <c r="L324" s="74"/>
      <c r="M324" s="74"/>
      <c r="N324" s="74"/>
      <c r="O324" s="74"/>
      <c r="P324" s="74"/>
      <c r="Q324" s="74"/>
      <c r="R324" s="74"/>
      <c r="S324" s="74"/>
      <c r="T324" s="74"/>
      <c r="U324" s="74"/>
      <c r="V324" s="74"/>
      <c r="W324" s="74"/>
      <c r="X324" s="74"/>
      <c r="Y324" s="74"/>
      <c r="Z324" s="74"/>
    </row>
    <row r="325">
      <c r="A325" s="74"/>
      <c r="B325" s="73"/>
      <c r="C325" s="73"/>
      <c r="D325" s="73"/>
      <c r="E325" s="73"/>
      <c r="F325" s="74"/>
      <c r="G325" s="74"/>
      <c r="H325" s="74"/>
      <c r="I325" s="74"/>
      <c r="J325" s="74"/>
      <c r="K325" s="74"/>
      <c r="L325" s="74"/>
      <c r="M325" s="74"/>
      <c r="N325" s="74"/>
      <c r="O325" s="74"/>
      <c r="P325" s="74"/>
      <c r="Q325" s="74"/>
      <c r="R325" s="74"/>
      <c r="S325" s="74"/>
      <c r="T325" s="74"/>
      <c r="U325" s="74"/>
      <c r="V325" s="74"/>
      <c r="W325" s="74"/>
      <c r="X325" s="74"/>
      <c r="Y325" s="74"/>
      <c r="Z325" s="74"/>
    </row>
    <row r="326">
      <c r="A326" s="74"/>
      <c r="B326" s="73"/>
      <c r="C326" s="73"/>
      <c r="D326" s="73"/>
      <c r="E326" s="73"/>
      <c r="F326" s="74"/>
      <c r="G326" s="74"/>
      <c r="H326" s="74"/>
      <c r="I326" s="74"/>
      <c r="J326" s="74"/>
      <c r="K326" s="74"/>
      <c r="L326" s="74"/>
      <c r="M326" s="74"/>
      <c r="N326" s="74"/>
      <c r="O326" s="74"/>
      <c r="P326" s="74"/>
      <c r="Q326" s="74"/>
      <c r="R326" s="74"/>
      <c r="S326" s="74"/>
      <c r="T326" s="74"/>
      <c r="U326" s="74"/>
      <c r="V326" s="74"/>
      <c r="W326" s="74"/>
      <c r="X326" s="74"/>
      <c r="Y326" s="74"/>
      <c r="Z326" s="74"/>
    </row>
    <row r="327">
      <c r="A327" s="74"/>
      <c r="B327" s="73"/>
      <c r="C327" s="73"/>
      <c r="D327" s="73"/>
      <c r="E327" s="73"/>
      <c r="F327" s="74"/>
      <c r="G327" s="74"/>
      <c r="H327" s="74"/>
      <c r="I327" s="74"/>
      <c r="J327" s="74"/>
      <c r="K327" s="74"/>
      <c r="L327" s="74"/>
      <c r="M327" s="74"/>
      <c r="N327" s="74"/>
      <c r="O327" s="74"/>
      <c r="P327" s="74"/>
      <c r="Q327" s="74"/>
      <c r="R327" s="74"/>
      <c r="S327" s="74"/>
      <c r="T327" s="74"/>
      <c r="U327" s="74"/>
      <c r="V327" s="74"/>
      <c r="W327" s="74"/>
      <c r="X327" s="74"/>
      <c r="Y327" s="74"/>
      <c r="Z327" s="74"/>
    </row>
    <row r="328">
      <c r="A328" s="74"/>
      <c r="B328" s="73"/>
      <c r="C328" s="73"/>
      <c r="D328" s="73"/>
      <c r="E328" s="73"/>
      <c r="F328" s="74"/>
      <c r="G328" s="74"/>
      <c r="H328" s="74"/>
      <c r="I328" s="74"/>
      <c r="J328" s="74"/>
      <c r="K328" s="74"/>
      <c r="L328" s="74"/>
      <c r="M328" s="74"/>
      <c r="N328" s="74"/>
      <c r="O328" s="74"/>
      <c r="P328" s="74"/>
      <c r="Q328" s="74"/>
      <c r="R328" s="74"/>
      <c r="S328" s="74"/>
      <c r="T328" s="74"/>
      <c r="U328" s="74"/>
      <c r="V328" s="74"/>
      <c r="W328" s="74"/>
      <c r="X328" s="74"/>
      <c r="Y328" s="74"/>
      <c r="Z328" s="74"/>
    </row>
    <row r="329">
      <c r="A329" s="74"/>
      <c r="B329" s="73"/>
      <c r="C329" s="73"/>
      <c r="D329" s="73"/>
      <c r="E329" s="73"/>
      <c r="F329" s="74"/>
      <c r="G329" s="74"/>
      <c r="H329" s="74"/>
      <c r="I329" s="74"/>
      <c r="J329" s="74"/>
      <c r="K329" s="74"/>
      <c r="L329" s="74"/>
      <c r="M329" s="74"/>
      <c r="N329" s="74"/>
      <c r="O329" s="74"/>
      <c r="P329" s="74"/>
      <c r="Q329" s="74"/>
      <c r="R329" s="74"/>
      <c r="S329" s="74"/>
      <c r="T329" s="74"/>
      <c r="U329" s="74"/>
      <c r="V329" s="74"/>
      <c r="W329" s="74"/>
      <c r="X329" s="74"/>
      <c r="Y329" s="74"/>
      <c r="Z329" s="74"/>
    </row>
    <row r="330">
      <c r="A330" s="74"/>
      <c r="B330" s="73"/>
      <c r="C330" s="73"/>
      <c r="D330" s="73"/>
      <c r="E330" s="73"/>
      <c r="F330" s="74"/>
      <c r="G330" s="74"/>
      <c r="H330" s="74"/>
      <c r="I330" s="74"/>
      <c r="J330" s="74"/>
      <c r="K330" s="74"/>
      <c r="L330" s="74"/>
      <c r="M330" s="74"/>
      <c r="N330" s="74"/>
      <c r="O330" s="74"/>
      <c r="P330" s="74"/>
      <c r="Q330" s="74"/>
      <c r="R330" s="74"/>
      <c r="S330" s="74"/>
      <c r="T330" s="74"/>
      <c r="U330" s="74"/>
      <c r="V330" s="74"/>
      <c r="W330" s="74"/>
      <c r="X330" s="74"/>
      <c r="Y330" s="74"/>
      <c r="Z330" s="74"/>
    </row>
    <row r="331">
      <c r="A331" s="74"/>
      <c r="B331" s="73"/>
      <c r="C331" s="73"/>
      <c r="D331" s="73"/>
      <c r="E331" s="73"/>
      <c r="F331" s="74"/>
      <c r="G331" s="74"/>
      <c r="H331" s="74"/>
      <c r="I331" s="74"/>
      <c r="J331" s="74"/>
      <c r="K331" s="74"/>
      <c r="L331" s="74"/>
      <c r="M331" s="74"/>
      <c r="N331" s="74"/>
      <c r="O331" s="74"/>
      <c r="P331" s="74"/>
      <c r="Q331" s="74"/>
      <c r="R331" s="74"/>
      <c r="S331" s="74"/>
      <c r="T331" s="74"/>
      <c r="U331" s="74"/>
      <c r="V331" s="74"/>
      <c r="W331" s="74"/>
      <c r="X331" s="74"/>
      <c r="Y331" s="74"/>
      <c r="Z331" s="74"/>
    </row>
    <row r="332">
      <c r="A332" s="74"/>
      <c r="B332" s="73"/>
      <c r="C332" s="73"/>
      <c r="D332" s="73"/>
      <c r="E332" s="73"/>
      <c r="F332" s="74"/>
      <c r="G332" s="74"/>
      <c r="H332" s="74"/>
      <c r="I332" s="74"/>
      <c r="J332" s="74"/>
      <c r="K332" s="74"/>
      <c r="L332" s="74"/>
      <c r="M332" s="74"/>
      <c r="N332" s="74"/>
      <c r="O332" s="74"/>
      <c r="P332" s="74"/>
      <c r="Q332" s="74"/>
      <c r="R332" s="74"/>
      <c r="S332" s="74"/>
      <c r="T332" s="74"/>
      <c r="U332" s="74"/>
      <c r="V332" s="74"/>
      <c r="W332" s="74"/>
      <c r="X332" s="74"/>
      <c r="Y332" s="74"/>
      <c r="Z332" s="74"/>
    </row>
    <row r="333">
      <c r="A333" s="74"/>
      <c r="B333" s="73"/>
      <c r="C333" s="73"/>
      <c r="D333" s="73"/>
      <c r="E333" s="73"/>
      <c r="F333" s="74"/>
      <c r="G333" s="74"/>
      <c r="H333" s="74"/>
      <c r="I333" s="74"/>
      <c r="J333" s="74"/>
      <c r="K333" s="74"/>
      <c r="L333" s="74"/>
      <c r="M333" s="74"/>
      <c r="N333" s="74"/>
      <c r="O333" s="74"/>
      <c r="P333" s="74"/>
      <c r="Q333" s="74"/>
      <c r="R333" s="74"/>
      <c r="S333" s="74"/>
      <c r="T333" s="74"/>
      <c r="U333" s="74"/>
      <c r="V333" s="74"/>
      <c r="W333" s="74"/>
      <c r="X333" s="74"/>
      <c r="Y333" s="74"/>
      <c r="Z333" s="74"/>
    </row>
    <row r="334">
      <c r="A334" s="74"/>
      <c r="B334" s="73"/>
      <c r="C334" s="73"/>
      <c r="D334" s="73"/>
      <c r="E334" s="73"/>
      <c r="F334" s="74"/>
      <c r="G334" s="74"/>
      <c r="H334" s="74"/>
      <c r="I334" s="74"/>
      <c r="J334" s="74"/>
      <c r="K334" s="74"/>
      <c r="L334" s="74"/>
      <c r="M334" s="74"/>
      <c r="N334" s="74"/>
      <c r="O334" s="74"/>
      <c r="P334" s="74"/>
      <c r="Q334" s="74"/>
      <c r="R334" s="74"/>
      <c r="S334" s="74"/>
      <c r="T334" s="74"/>
      <c r="U334" s="74"/>
      <c r="V334" s="74"/>
      <c r="W334" s="74"/>
      <c r="X334" s="74"/>
      <c r="Y334" s="74"/>
      <c r="Z334" s="74"/>
    </row>
    <row r="335">
      <c r="A335" s="74"/>
      <c r="B335" s="73"/>
      <c r="C335" s="73"/>
      <c r="D335" s="73"/>
      <c r="E335" s="73"/>
      <c r="F335" s="74"/>
      <c r="G335" s="74"/>
      <c r="H335" s="74"/>
      <c r="I335" s="74"/>
      <c r="J335" s="74"/>
      <c r="K335" s="74"/>
      <c r="L335" s="74"/>
      <c r="M335" s="74"/>
      <c r="N335" s="74"/>
      <c r="O335" s="74"/>
      <c r="P335" s="74"/>
      <c r="Q335" s="74"/>
      <c r="R335" s="74"/>
      <c r="S335" s="74"/>
      <c r="T335" s="74"/>
      <c r="U335" s="74"/>
      <c r="V335" s="74"/>
      <c r="W335" s="74"/>
      <c r="X335" s="74"/>
      <c r="Y335" s="74"/>
      <c r="Z335" s="74"/>
    </row>
    <row r="336">
      <c r="A336" s="74"/>
      <c r="B336" s="73"/>
      <c r="C336" s="73"/>
      <c r="D336" s="73"/>
      <c r="E336" s="73"/>
      <c r="F336" s="74"/>
      <c r="G336" s="74"/>
      <c r="H336" s="74"/>
      <c r="I336" s="74"/>
      <c r="J336" s="74"/>
      <c r="K336" s="74"/>
      <c r="L336" s="74"/>
      <c r="M336" s="74"/>
      <c r="N336" s="74"/>
      <c r="O336" s="74"/>
      <c r="P336" s="74"/>
      <c r="Q336" s="74"/>
      <c r="R336" s="74"/>
      <c r="S336" s="74"/>
      <c r="T336" s="74"/>
      <c r="U336" s="74"/>
      <c r="V336" s="74"/>
      <c r="W336" s="74"/>
      <c r="X336" s="74"/>
      <c r="Y336" s="74"/>
      <c r="Z336" s="74"/>
    </row>
    <row r="337">
      <c r="A337" s="74"/>
      <c r="B337" s="73"/>
      <c r="C337" s="73"/>
      <c r="D337" s="73"/>
      <c r="E337" s="73"/>
      <c r="F337" s="74"/>
      <c r="G337" s="74"/>
      <c r="H337" s="74"/>
      <c r="I337" s="74"/>
      <c r="J337" s="74"/>
      <c r="K337" s="74"/>
      <c r="L337" s="74"/>
      <c r="M337" s="74"/>
      <c r="N337" s="74"/>
      <c r="O337" s="74"/>
      <c r="P337" s="74"/>
      <c r="Q337" s="74"/>
      <c r="R337" s="74"/>
      <c r="S337" s="74"/>
      <c r="T337" s="74"/>
      <c r="U337" s="74"/>
      <c r="V337" s="74"/>
      <c r="W337" s="74"/>
      <c r="X337" s="74"/>
      <c r="Y337" s="74"/>
      <c r="Z337" s="74"/>
    </row>
    <row r="338">
      <c r="A338" s="74"/>
      <c r="B338" s="73"/>
      <c r="C338" s="73"/>
      <c r="D338" s="73"/>
      <c r="E338" s="73"/>
      <c r="F338" s="74"/>
      <c r="G338" s="74"/>
      <c r="H338" s="74"/>
      <c r="I338" s="74"/>
      <c r="J338" s="74"/>
      <c r="K338" s="74"/>
      <c r="L338" s="74"/>
      <c r="M338" s="74"/>
      <c r="N338" s="74"/>
      <c r="O338" s="74"/>
      <c r="P338" s="74"/>
      <c r="Q338" s="74"/>
      <c r="R338" s="74"/>
      <c r="S338" s="74"/>
      <c r="T338" s="74"/>
      <c r="U338" s="74"/>
      <c r="V338" s="74"/>
      <c r="W338" s="74"/>
      <c r="X338" s="74"/>
      <c r="Y338" s="74"/>
      <c r="Z338" s="74"/>
    </row>
    <row r="339">
      <c r="A339" s="74"/>
      <c r="B339" s="73"/>
      <c r="C339" s="73"/>
      <c r="D339" s="73"/>
      <c r="E339" s="73"/>
      <c r="F339" s="74"/>
      <c r="G339" s="74"/>
      <c r="H339" s="74"/>
      <c r="I339" s="74"/>
      <c r="J339" s="74"/>
      <c r="K339" s="74"/>
      <c r="L339" s="74"/>
      <c r="M339" s="74"/>
      <c r="N339" s="74"/>
      <c r="O339" s="74"/>
      <c r="P339" s="74"/>
      <c r="Q339" s="74"/>
      <c r="R339" s="74"/>
      <c r="S339" s="74"/>
      <c r="T339" s="74"/>
      <c r="U339" s="74"/>
      <c r="V339" s="74"/>
      <c r="W339" s="74"/>
      <c r="X339" s="74"/>
      <c r="Y339" s="74"/>
      <c r="Z339" s="74"/>
    </row>
    <row r="340">
      <c r="A340" s="74"/>
      <c r="B340" s="73"/>
      <c r="C340" s="73"/>
      <c r="D340" s="73"/>
      <c r="E340" s="73"/>
      <c r="F340" s="74"/>
      <c r="G340" s="74"/>
      <c r="H340" s="74"/>
      <c r="I340" s="74"/>
      <c r="J340" s="74"/>
      <c r="K340" s="74"/>
      <c r="L340" s="74"/>
      <c r="M340" s="74"/>
      <c r="N340" s="74"/>
      <c r="O340" s="74"/>
      <c r="P340" s="74"/>
      <c r="Q340" s="74"/>
      <c r="R340" s="74"/>
      <c r="S340" s="74"/>
      <c r="T340" s="74"/>
      <c r="U340" s="74"/>
      <c r="V340" s="74"/>
      <c r="W340" s="74"/>
      <c r="X340" s="74"/>
      <c r="Y340" s="74"/>
      <c r="Z340" s="74"/>
    </row>
    <row r="341">
      <c r="A341" s="74"/>
      <c r="B341" s="73"/>
      <c r="C341" s="73"/>
      <c r="D341" s="73"/>
      <c r="E341" s="73"/>
      <c r="F341" s="74"/>
      <c r="G341" s="74"/>
      <c r="H341" s="74"/>
      <c r="I341" s="74"/>
      <c r="J341" s="74"/>
      <c r="K341" s="74"/>
      <c r="L341" s="74"/>
      <c r="M341" s="74"/>
      <c r="N341" s="74"/>
      <c r="O341" s="74"/>
      <c r="P341" s="74"/>
      <c r="Q341" s="74"/>
      <c r="R341" s="74"/>
      <c r="S341" s="74"/>
      <c r="T341" s="74"/>
      <c r="U341" s="74"/>
      <c r="V341" s="74"/>
      <c r="W341" s="74"/>
      <c r="X341" s="74"/>
      <c r="Y341" s="74"/>
      <c r="Z341" s="74"/>
    </row>
    <row r="342">
      <c r="A342" s="74"/>
      <c r="B342" s="73"/>
      <c r="C342" s="73"/>
      <c r="D342" s="73"/>
      <c r="E342" s="73"/>
      <c r="F342" s="74"/>
      <c r="G342" s="74"/>
      <c r="H342" s="74"/>
      <c r="I342" s="74"/>
      <c r="J342" s="74"/>
      <c r="K342" s="74"/>
      <c r="L342" s="74"/>
      <c r="M342" s="74"/>
      <c r="N342" s="74"/>
      <c r="O342" s="74"/>
      <c r="P342" s="74"/>
      <c r="Q342" s="74"/>
      <c r="R342" s="74"/>
      <c r="S342" s="74"/>
      <c r="T342" s="74"/>
      <c r="U342" s="74"/>
      <c r="V342" s="74"/>
      <c r="W342" s="74"/>
      <c r="X342" s="74"/>
      <c r="Y342" s="74"/>
      <c r="Z342" s="74"/>
    </row>
    <row r="343">
      <c r="A343" s="74"/>
      <c r="B343" s="73"/>
      <c r="C343" s="73"/>
      <c r="D343" s="73"/>
      <c r="E343" s="73"/>
      <c r="F343" s="74"/>
      <c r="G343" s="74"/>
      <c r="H343" s="74"/>
      <c r="I343" s="74"/>
      <c r="J343" s="74"/>
      <c r="K343" s="74"/>
      <c r="L343" s="74"/>
      <c r="M343" s="74"/>
      <c r="N343" s="74"/>
      <c r="O343" s="74"/>
      <c r="P343" s="74"/>
      <c r="Q343" s="74"/>
      <c r="R343" s="74"/>
      <c r="S343" s="74"/>
      <c r="T343" s="74"/>
      <c r="U343" s="74"/>
      <c r="V343" s="74"/>
      <c r="W343" s="74"/>
      <c r="X343" s="74"/>
      <c r="Y343" s="74"/>
      <c r="Z343" s="74"/>
    </row>
    <row r="344">
      <c r="A344" s="74"/>
      <c r="B344" s="73"/>
      <c r="C344" s="73"/>
      <c r="D344" s="73"/>
      <c r="E344" s="73"/>
      <c r="F344" s="74"/>
      <c r="G344" s="74"/>
      <c r="H344" s="74"/>
      <c r="I344" s="74"/>
      <c r="J344" s="74"/>
      <c r="K344" s="74"/>
      <c r="L344" s="74"/>
      <c r="M344" s="74"/>
      <c r="N344" s="74"/>
      <c r="O344" s="74"/>
      <c r="P344" s="74"/>
      <c r="Q344" s="74"/>
      <c r="R344" s="74"/>
      <c r="S344" s="74"/>
      <c r="T344" s="74"/>
      <c r="U344" s="74"/>
      <c r="V344" s="74"/>
      <c r="W344" s="74"/>
      <c r="X344" s="74"/>
      <c r="Y344" s="74"/>
      <c r="Z344" s="74"/>
    </row>
    <row r="345">
      <c r="A345" s="74"/>
      <c r="B345" s="73"/>
      <c r="C345" s="73"/>
      <c r="D345" s="73"/>
      <c r="E345" s="73"/>
      <c r="F345" s="74"/>
      <c r="G345" s="74"/>
      <c r="H345" s="74"/>
      <c r="I345" s="74"/>
      <c r="J345" s="74"/>
      <c r="K345" s="74"/>
      <c r="L345" s="74"/>
      <c r="M345" s="74"/>
      <c r="N345" s="74"/>
      <c r="O345" s="74"/>
      <c r="P345" s="74"/>
      <c r="Q345" s="74"/>
      <c r="R345" s="74"/>
      <c r="S345" s="74"/>
      <c r="T345" s="74"/>
      <c r="U345" s="74"/>
      <c r="V345" s="74"/>
      <c r="W345" s="74"/>
      <c r="X345" s="74"/>
      <c r="Y345" s="74"/>
      <c r="Z345" s="74"/>
    </row>
    <row r="346">
      <c r="A346" s="74"/>
      <c r="B346" s="73"/>
      <c r="C346" s="73"/>
      <c r="D346" s="73"/>
      <c r="E346" s="73"/>
      <c r="F346" s="74"/>
      <c r="G346" s="74"/>
      <c r="H346" s="74"/>
      <c r="I346" s="74"/>
      <c r="J346" s="74"/>
      <c r="K346" s="74"/>
      <c r="L346" s="74"/>
      <c r="M346" s="74"/>
      <c r="N346" s="74"/>
      <c r="O346" s="74"/>
      <c r="P346" s="74"/>
      <c r="Q346" s="74"/>
      <c r="R346" s="74"/>
      <c r="S346" s="74"/>
      <c r="T346" s="74"/>
      <c r="U346" s="74"/>
      <c r="V346" s="74"/>
      <c r="W346" s="74"/>
      <c r="X346" s="74"/>
      <c r="Y346" s="74"/>
      <c r="Z346" s="74"/>
    </row>
    <row r="347">
      <c r="A347" s="74"/>
      <c r="B347" s="73"/>
      <c r="C347" s="73"/>
      <c r="D347" s="73"/>
      <c r="E347" s="73"/>
      <c r="F347" s="74"/>
      <c r="G347" s="74"/>
      <c r="H347" s="74"/>
      <c r="I347" s="74"/>
      <c r="J347" s="74"/>
      <c r="K347" s="74"/>
      <c r="L347" s="74"/>
      <c r="M347" s="74"/>
      <c r="N347" s="74"/>
      <c r="O347" s="74"/>
      <c r="P347" s="74"/>
      <c r="Q347" s="74"/>
      <c r="R347" s="74"/>
      <c r="S347" s="74"/>
      <c r="T347" s="74"/>
      <c r="U347" s="74"/>
      <c r="V347" s="74"/>
      <c r="W347" s="74"/>
      <c r="X347" s="74"/>
      <c r="Y347" s="74"/>
      <c r="Z347" s="74"/>
    </row>
    <row r="348">
      <c r="A348" s="74"/>
      <c r="B348" s="73"/>
      <c r="C348" s="73"/>
      <c r="D348" s="73"/>
      <c r="E348" s="73"/>
      <c r="F348" s="74"/>
      <c r="G348" s="74"/>
      <c r="H348" s="74"/>
      <c r="I348" s="74"/>
      <c r="J348" s="74"/>
      <c r="K348" s="74"/>
      <c r="L348" s="74"/>
      <c r="M348" s="74"/>
      <c r="N348" s="74"/>
      <c r="O348" s="74"/>
      <c r="P348" s="74"/>
      <c r="Q348" s="74"/>
      <c r="R348" s="74"/>
      <c r="S348" s="74"/>
      <c r="T348" s="74"/>
      <c r="U348" s="74"/>
      <c r="V348" s="74"/>
      <c r="W348" s="74"/>
      <c r="X348" s="74"/>
      <c r="Y348" s="74"/>
      <c r="Z348" s="74"/>
    </row>
    <row r="349">
      <c r="A349" s="74"/>
      <c r="B349" s="73"/>
      <c r="C349" s="73"/>
      <c r="D349" s="73"/>
      <c r="E349" s="73"/>
      <c r="F349" s="74"/>
      <c r="G349" s="74"/>
      <c r="H349" s="74"/>
      <c r="I349" s="74"/>
      <c r="J349" s="74"/>
      <c r="K349" s="74"/>
      <c r="L349" s="74"/>
      <c r="M349" s="74"/>
      <c r="N349" s="74"/>
      <c r="O349" s="74"/>
      <c r="P349" s="74"/>
      <c r="Q349" s="74"/>
      <c r="R349" s="74"/>
      <c r="S349" s="74"/>
      <c r="T349" s="74"/>
      <c r="U349" s="74"/>
      <c r="V349" s="74"/>
      <c r="W349" s="74"/>
      <c r="X349" s="74"/>
      <c r="Y349" s="74"/>
      <c r="Z349" s="74"/>
    </row>
    <row r="350">
      <c r="A350" s="74"/>
      <c r="B350" s="73"/>
      <c r="C350" s="73"/>
      <c r="D350" s="73"/>
      <c r="E350" s="73"/>
      <c r="F350" s="74"/>
      <c r="G350" s="74"/>
      <c r="H350" s="74"/>
      <c r="I350" s="74"/>
      <c r="J350" s="74"/>
      <c r="K350" s="74"/>
      <c r="L350" s="74"/>
      <c r="M350" s="74"/>
      <c r="N350" s="74"/>
      <c r="O350" s="74"/>
      <c r="P350" s="74"/>
      <c r="Q350" s="74"/>
      <c r="R350" s="74"/>
      <c r="S350" s="74"/>
      <c r="T350" s="74"/>
      <c r="U350" s="74"/>
      <c r="V350" s="74"/>
      <c r="W350" s="74"/>
      <c r="X350" s="74"/>
      <c r="Y350" s="74"/>
      <c r="Z350" s="74"/>
    </row>
    <row r="351">
      <c r="A351" s="74"/>
      <c r="B351" s="73"/>
      <c r="C351" s="73"/>
      <c r="D351" s="73"/>
      <c r="E351" s="73"/>
      <c r="F351" s="74"/>
      <c r="G351" s="74"/>
      <c r="H351" s="74"/>
      <c r="I351" s="74"/>
      <c r="J351" s="74"/>
      <c r="K351" s="74"/>
      <c r="L351" s="74"/>
      <c r="M351" s="74"/>
      <c r="N351" s="74"/>
      <c r="O351" s="74"/>
      <c r="P351" s="74"/>
      <c r="Q351" s="74"/>
      <c r="R351" s="74"/>
      <c r="S351" s="74"/>
      <c r="T351" s="74"/>
      <c r="U351" s="74"/>
      <c r="V351" s="74"/>
      <c r="W351" s="74"/>
      <c r="X351" s="74"/>
      <c r="Y351" s="74"/>
      <c r="Z351" s="74"/>
    </row>
    <row r="352">
      <c r="A352" s="74"/>
      <c r="B352" s="73"/>
      <c r="C352" s="73"/>
      <c r="D352" s="73"/>
      <c r="E352" s="73"/>
      <c r="F352" s="74"/>
      <c r="G352" s="74"/>
      <c r="H352" s="74"/>
      <c r="I352" s="74"/>
      <c r="J352" s="74"/>
      <c r="K352" s="74"/>
      <c r="L352" s="74"/>
      <c r="M352" s="74"/>
      <c r="N352" s="74"/>
      <c r="O352" s="74"/>
      <c r="P352" s="74"/>
      <c r="Q352" s="74"/>
      <c r="R352" s="74"/>
      <c r="S352" s="74"/>
      <c r="T352" s="74"/>
      <c r="U352" s="74"/>
      <c r="V352" s="74"/>
      <c r="W352" s="74"/>
      <c r="X352" s="74"/>
      <c r="Y352" s="74"/>
      <c r="Z352" s="74"/>
    </row>
    <row r="353">
      <c r="A353" s="74"/>
      <c r="B353" s="73"/>
      <c r="C353" s="73"/>
      <c r="D353" s="73"/>
      <c r="E353" s="73"/>
      <c r="F353" s="74"/>
      <c r="G353" s="74"/>
      <c r="H353" s="74"/>
      <c r="I353" s="74"/>
      <c r="J353" s="74"/>
      <c r="K353" s="74"/>
      <c r="L353" s="74"/>
      <c r="M353" s="74"/>
      <c r="N353" s="74"/>
      <c r="O353" s="74"/>
      <c r="P353" s="74"/>
      <c r="Q353" s="74"/>
      <c r="R353" s="74"/>
      <c r="S353" s="74"/>
      <c r="T353" s="74"/>
      <c r="U353" s="74"/>
      <c r="V353" s="74"/>
      <c r="W353" s="74"/>
      <c r="X353" s="74"/>
      <c r="Y353" s="74"/>
      <c r="Z353" s="74"/>
    </row>
    <row r="354">
      <c r="A354" s="74"/>
      <c r="B354" s="73"/>
      <c r="C354" s="73"/>
      <c r="D354" s="73"/>
      <c r="E354" s="73"/>
      <c r="F354" s="74"/>
      <c r="G354" s="74"/>
      <c r="H354" s="74"/>
      <c r="I354" s="74"/>
      <c r="J354" s="74"/>
      <c r="K354" s="74"/>
      <c r="L354" s="74"/>
      <c r="M354" s="74"/>
      <c r="N354" s="74"/>
      <c r="O354" s="74"/>
      <c r="P354" s="74"/>
      <c r="Q354" s="74"/>
      <c r="R354" s="74"/>
      <c r="S354" s="74"/>
      <c r="T354" s="74"/>
      <c r="U354" s="74"/>
      <c r="V354" s="74"/>
      <c r="W354" s="74"/>
      <c r="X354" s="74"/>
      <c r="Y354" s="74"/>
      <c r="Z354" s="74"/>
    </row>
    <row r="355">
      <c r="A355" s="74"/>
      <c r="B355" s="73"/>
      <c r="C355" s="73"/>
      <c r="D355" s="73"/>
      <c r="E355" s="73"/>
      <c r="F355" s="74"/>
      <c r="G355" s="74"/>
      <c r="H355" s="74"/>
      <c r="I355" s="74"/>
      <c r="J355" s="74"/>
      <c r="K355" s="74"/>
      <c r="L355" s="74"/>
      <c r="M355" s="74"/>
      <c r="N355" s="74"/>
      <c r="O355" s="74"/>
      <c r="P355" s="74"/>
      <c r="Q355" s="74"/>
      <c r="R355" s="74"/>
      <c r="S355" s="74"/>
      <c r="T355" s="74"/>
      <c r="U355" s="74"/>
      <c r="V355" s="74"/>
      <c r="W355" s="74"/>
      <c r="X355" s="74"/>
      <c r="Y355" s="74"/>
      <c r="Z355" s="74"/>
    </row>
    <row r="356">
      <c r="A356" s="74"/>
      <c r="B356" s="73"/>
      <c r="C356" s="73"/>
      <c r="D356" s="73"/>
      <c r="E356" s="73"/>
      <c r="F356" s="74"/>
      <c r="G356" s="74"/>
      <c r="H356" s="74"/>
      <c r="I356" s="74"/>
      <c r="J356" s="74"/>
      <c r="K356" s="74"/>
      <c r="L356" s="74"/>
      <c r="M356" s="74"/>
      <c r="N356" s="74"/>
      <c r="O356" s="74"/>
      <c r="P356" s="74"/>
      <c r="Q356" s="74"/>
      <c r="R356" s="74"/>
      <c r="S356" s="74"/>
      <c r="T356" s="74"/>
      <c r="U356" s="74"/>
      <c r="V356" s="74"/>
      <c r="W356" s="74"/>
      <c r="X356" s="74"/>
      <c r="Y356" s="74"/>
      <c r="Z356" s="74"/>
    </row>
    <row r="357">
      <c r="A357" s="74"/>
      <c r="B357" s="73"/>
      <c r="C357" s="73"/>
      <c r="D357" s="73"/>
      <c r="E357" s="73"/>
      <c r="F357" s="74"/>
      <c r="G357" s="74"/>
      <c r="H357" s="74"/>
      <c r="I357" s="74"/>
      <c r="J357" s="74"/>
      <c r="K357" s="74"/>
      <c r="L357" s="74"/>
      <c r="M357" s="74"/>
      <c r="N357" s="74"/>
      <c r="O357" s="74"/>
      <c r="P357" s="74"/>
      <c r="Q357" s="74"/>
      <c r="R357" s="74"/>
      <c r="S357" s="74"/>
      <c r="T357" s="74"/>
      <c r="U357" s="74"/>
      <c r="V357" s="74"/>
      <c r="W357" s="74"/>
      <c r="X357" s="74"/>
      <c r="Y357" s="74"/>
      <c r="Z357" s="74"/>
    </row>
    <row r="358">
      <c r="A358" s="74"/>
      <c r="B358" s="73"/>
      <c r="C358" s="73"/>
      <c r="D358" s="73"/>
      <c r="E358" s="73"/>
      <c r="F358" s="74"/>
      <c r="G358" s="74"/>
      <c r="H358" s="74"/>
      <c r="I358" s="74"/>
      <c r="J358" s="74"/>
      <c r="K358" s="74"/>
      <c r="L358" s="74"/>
      <c r="M358" s="74"/>
      <c r="N358" s="74"/>
      <c r="O358" s="74"/>
      <c r="P358" s="74"/>
      <c r="Q358" s="74"/>
      <c r="R358" s="74"/>
      <c r="S358" s="74"/>
      <c r="T358" s="74"/>
      <c r="U358" s="74"/>
      <c r="V358" s="74"/>
      <c r="W358" s="74"/>
      <c r="X358" s="74"/>
      <c r="Y358" s="74"/>
      <c r="Z358" s="74"/>
    </row>
    <row r="359">
      <c r="A359" s="74"/>
      <c r="B359" s="73"/>
      <c r="C359" s="73"/>
      <c r="D359" s="73"/>
      <c r="E359" s="73"/>
      <c r="F359" s="74"/>
      <c r="G359" s="74"/>
      <c r="H359" s="74"/>
      <c r="I359" s="74"/>
      <c r="J359" s="74"/>
      <c r="K359" s="74"/>
      <c r="L359" s="74"/>
      <c r="M359" s="74"/>
      <c r="N359" s="74"/>
      <c r="O359" s="74"/>
      <c r="P359" s="74"/>
      <c r="Q359" s="74"/>
      <c r="R359" s="74"/>
      <c r="S359" s="74"/>
      <c r="T359" s="74"/>
      <c r="U359" s="74"/>
      <c r="V359" s="74"/>
      <c r="W359" s="74"/>
      <c r="X359" s="74"/>
      <c r="Y359" s="74"/>
      <c r="Z359" s="74"/>
    </row>
    <row r="360">
      <c r="A360" s="74"/>
      <c r="B360" s="73"/>
      <c r="C360" s="73"/>
      <c r="D360" s="73"/>
      <c r="E360" s="73"/>
      <c r="F360" s="74"/>
      <c r="G360" s="74"/>
      <c r="H360" s="74"/>
      <c r="I360" s="74"/>
      <c r="J360" s="74"/>
      <c r="K360" s="74"/>
      <c r="L360" s="74"/>
      <c r="M360" s="74"/>
      <c r="N360" s="74"/>
      <c r="O360" s="74"/>
      <c r="P360" s="74"/>
      <c r="Q360" s="74"/>
      <c r="R360" s="74"/>
      <c r="S360" s="74"/>
      <c r="T360" s="74"/>
      <c r="U360" s="74"/>
      <c r="V360" s="74"/>
      <c r="W360" s="74"/>
      <c r="X360" s="74"/>
      <c r="Y360" s="74"/>
      <c r="Z360" s="74"/>
    </row>
    <row r="361">
      <c r="A361" s="74"/>
      <c r="B361" s="73"/>
      <c r="C361" s="73"/>
      <c r="D361" s="73"/>
      <c r="E361" s="73"/>
      <c r="F361" s="74"/>
      <c r="G361" s="74"/>
      <c r="H361" s="74"/>
      <c r="I361" s="74"/>
      <c r="J361" s="74"/>
      <c r="K361" s="74"/>
      <c r="L361" s="74"/>
      <c r="M361" s="74"/>
      <c r="N361" s="74"/>
      <c r="O361" s="74"/>
      <c r="P361" s="74"/>
      <c r="Q361" s="74"/>
      <c r="R361" s="74"/>
      <c r="S361" s="74"/>
      <c r="T361" s="74"/>
      <c r="U361" s="74"/>
      <c r="V361" s="74"/>
      <c r="W361" s="74"/>
      <c r="X361" s="74"/>
      <c r="Y361" s="74"/>
      <c r="Z361" s="74"/>
    </row>
    <row r="362">
      <c r="A362" s="74"/>
      <c r="B362" s="73"/>
      <c r="C362" s="73"/>
      <c r="D362" s="73"/>
      <c r="E362" s="73"/>
      <c r="F362" s="74"/>
      <c r="G362" s="74"/>
      <c r="H362" s="74"/>
      <c r="I362" s="74"/>
      <c r="J362" s="74"/>
      <c r="K362" s="74"/>
      <c r="L362" s="74"/>
      <c r="M362" s="74"/>
      <c r="N362" s="74"/>
      <c r="O362" s="74"/>
      <c r="P362" s="74"/>
      <c r="Q362" s="74"/>
      <c r="R362" s="74"/>
      <c r="S362" s="74"/>
      <c r="T362" s="74"/>
      <c r="U362" s="74"/>
      <c r="V362" s="74"/>
      <c r="W362" s="74"/>
      <c r="X362" s="74"/>
      <c r="Y362" s="74"/>
      <c r="Z362" s="74"/>
    </row>
    <row r="363">
      <c r="A363" s="74"/>
      <c r="B363" s="73"/>
      <c r="C363" s="73"/>
      <c r="D363" s="73"/>
      <c r="E363" s="73"/>
      <c r="F363" s="74"/>
      <c r="G363" s="74"/>
      <c r="H363" s="74"/>
      <c r="I363" s="74"/>
      <c r="J363" s="74"/>
      <c r="K363" s="74"/>
      <c r="L363" s="74"/>
      <c r="M363" s="74"/>
      <c r="N363" s="74"/>
      <c r="O363" s="74"/>
      <c r="P363" s="74"/>
      <c r="Q363" s="74"/>
      <c r="R363" s="74"/>
      <c r="S363" s="74"/>
      <c r="T363" s="74"/>
      <c r="U363" s="74"/>
      <c r="V363" s="74"/>
      <c r="W363" s="74"/>
      <c r="X363" s="74"/>
      <c r="Y363" s="74"/>
      <c r="Z363" s="74"/>
    </row>
    <row r="364">
      <c r="A364" s="74"/>
      <c r="B364" s="73"/>
      <c r="C364" s="73"/>
      <c r="D364" s="73"/>
      <c r="E364" s="73"/>
      <c r="F364" s="74"/>
      <c r="G364" s="74"/>
      <c r="H364" s="74"/>
      <c r="I364" s="74"/>
      <c r="J364" s="74"/>
      <c r="K364" s="74"/>
      <c r="L364" s="74"/>
      <c r="M364" s="74"/>
      <c r="N364" s="74"/>
      <c r="O364" s="74"/>
      <c r="P364" s="74"/>
      <c r="Q364" s="74"/>
      <c r="R364" s="74"/>
      <c r="S364" s="74"/>
      <c r="T364" s="74"/>
      <c r="U364" s="74"/>
      <c r="V364" s="74"/>
      <c r="W364" s="74"/>
      <c r="X364" s="74"/>
      <c r="Y364" s="74"/>
      <c r="Z364" s="74"/>
    </row>
    <row r="365">
      <c r="A365" s="74"/>
      <c r="B365" s="73"/>
      <c r="C365" s="73"/>
      <c r="D365" s="73"/>
      <c r="E365" s="73"/>
      <c r="F365" s="74"/>
      <c r="G365" s="74"/>
      <c r="H365" s="74"/>
      <c r="I365" s="74"/>
      <c r="J365" s="74"/>
      <c r="K365" s="74"/>
      <c r="L365" s="74"/>
      <c r="M365" s="74"/>
      <c r="N365" s="74"/>
      <c r="O365" s="74"/>
      <c r="P365" s="74"/>
      <c r="Q365" s="74"/>
      <c r="R365" s="74"/>
      <c r="S365" s="74"/>
      <c r="T365" s="74"/>
      <c r="U365" s="74"/>
      <c r="V365" s="74"/>
      <c r="W365" s="74"/>
      <c r="X365" s="74"/>
      <c r="Y365" s="74"/>
      <c r="Z365" s="74"/>
    </row>
    <row r="366">
      <c r="A366" s="74"/>
      <c r="B366" s="73"/>
      <c r="C366" s="73"/>
      <c r="D366" s="73"/>
      <c r="E366" s="73"/>
      <c r="F366" s="74"/>
      <c r="G366" s="74"/>
      <c r="H366" s="74"/>
      <c r="I366" s="74"/>
      <c r="J366" s="74"/>
      <c r="K366" s="74"/>
      <c r="L366" s="74"/>
      <c r="M366" s="74"/>
      <c r="N366" s="74"/>
      <c r="O366" s="74"/>
      <c r="P366" s="74"/>
      <c r="Q366" s="74"/>
      <c r="R366" s="74"/>
      <c r="S366" s="74"/>
      <c r="T366" s="74"/>
      <c r="U366" s="74"/>
      <c r="V366" s="74"/>
      <c r="W366" s="74"/>
      <c r="X366" s="74"/>
      <c r="Y366" s="74"/>
      <c r="Z366" s="74"/>
    </row>
    <row r="367">
      <c r="A367" s="74"/>
      <c r="B367" s="73"/>
      <c r="C367" s="73"/>
      <c r="D367" s="73"/>
      <c r="E367" s="73"/>
      <c r="F367" s="74"/>
      <c r="G367" s="74"/>
      <c r="H367" s="74"/>
      <c r="I367" s="74"/>
      <c r="J367" s="74"/>
      <c r="K367" s="74"/>
      <c r="L367" s="74"/>
      <c r="M367" s="74"/>
      <c r="N367" s="74"/>
      <c r="O367" s="74"/>
      <c r="P367" s="74"/>
      <c r="Q367" s="74"/>
      <c r="R367" s="74"/>
      <c r="S367" s="74"/>
      <c r="T367" s="74"/>
      <c r="U367" s="74"/>
      <c r="V367" s="74"/>
      <c r="W367" s="74"/>
      <c r="X367" s="74"/>
      <c r="Y367" s="74"/>
      <c r="Z367" s="74"/>
    </row>
    <row r="368">
      <c r="A368" s="74"/>
      <c r="B368" s="73"/>
      <c r="C368" s="73"/>
      <c r="D368" s="73"/>
      <c r="E368" s="73"/>
      <c r="F368" s="74"/>
      <c r="G368" s="74"/>
      <c r="H368" s="74"/>
      <c r="I368" s="74"/>
      <c r="J368" s="74"/>
      <c r="K368" s="74"/>
      <c r="L368" s="74"/>
      <c r="M368" s="74"/>
      <c r="N368" s="74"/>
      <c r="O368" s="74"/>
      <c r="P368" s="74"/>
      <c r="Q368" s="74"/>
      <c r="R368" s="74"/>
      <c r="S368" s="74"/>
      <c r="T368" s="74"/>
      <c r="U368" s="74"/>
      <c r="V368" s="74"/>
      <c r="W368" s="74"/>
      <c r="X368" s="74"/>
      <c r="Y368" s="74"/>
      <c r="Z368" s="74"/>
    </row>
    <row r="369">
      <c r="A369" s="74"/>
      <c r="B369" s="73"/>
      <c r="C369" s="73"/>
      <c r="D369" s="73"/>
      <c r="E369" s="73"/>
      <c r="F369" s="74"/>
      <c r="G369" s="74"/>
      <c r="H369" s="74"/>
      <c r="I369" s="74"/>
      <c r="J369" s="74"/>
      <c r="K369" s="74"/>
      <c r="L369" s="74"/>
      <c r="M369" s="74"/>
      <c r="N369" s="74"/>
      <c r="O369" s="74"/>
      <c r="P369" s="74"/>
      <c r="Q369" s="74"/>
      <c r="R369" s="74"/>
      <c r="S369" s="74"/>
      <c r="T369" s="74"/>
      <c r="U369" s="74"/>
      <c r="V369" s="74"/>
      <c r="W369" s="74"/>
      <c r="X369" s="74"/>
      <c r="Y369" s="74"/>
      <c r="Z369" s="74"/>
    </row>
    <row r="370">
      <c r="A370" s="74"/>
      <c r="B370" s="73"/>
      <c r="C370" s="73"/>
      <c r="D370" s="73"/>
      <c r="E370" s="73"/>
      <c r="F370" s="74"/>
      <c r="G370" s="74"/>
      <c r="H370" s="74"/>
      <c r="I370" s="74"/>
      <c r="J370" s="74"/>
      <c r="K370" s="74"/>
      <c r="L370" s="74"/>
      <c r="M370" s="74"/>
      <c r="N370" s="74"/>
      <c r="O370" s="74"/>
      <c r="P370" s="74"/>
      <c r="Q370" s="74"/>
      <c r="R370" s="74"/>
      <c r="S370" s="74"/>
      <c r="T370" s="74"/>
      <c r="U370" s="74"/>
      <c r="V370" s="74"/>
      <c r="W370" s="74"/>
      <c r="X370" s="74"/>
      <c r="Y370" s="74"/>
      <c r="Z370" s="74"/>
    </row>
    <row r="371">
      <c r="A371" s="74"/>
      <c r="B371" s="73"/>
      <c r="C371" s="73"/>
      <c r="D371" s="73"/>
      <c r="E371" s="73"/>
      <c r="F371" s="74"/>
      <c r="G371" s="74"/>
      <c r="H371" s="74"/>
      <c r="I371" s="74"/>
      <c r="J371" s="74"/>
      <c r="K371" s="74"/>
      <c r="L371" s="74"/>
      <c r="M371" s="74"/>
      <c r="N371" s="74"/>
      <c r="O371" s="74"/>
      <c r="P371" s="74"/>
      <c r="Q371" s="74"/>
      <c r="R371" s="74"/>
      <c r="S371" s="74"/>
      <c r="T371" s="74"/>
      <c r="U371" s="74"/>
      <c r="V371" s="74"/>
      <c r="W371" s="74"/>
      <c r="X371" s="74"/>
      <c r="Y371" s="74"/>
      <c r="Z371" s="74"/>
    </row>
    <row r="372">
      <c r="A372" s="74"/>
      <c r="B372" s="73"/>
      <c r="C372" s="73"/>
      <c r="D372" s="73"/>
      <c r="E372" s="73"/>
      <c r="F372" s="74"/>
      <c r="G372" s="74"/>
      <c r="H372" s="74"/>
      <c r="I372" s="74"/>
      <c r="J372" s="74"/>
      <c r="K372" s="74"/>
      <c r="L372" s="74"/>
      <c r="M372" s="74"/>
      <c r="N372" s="74"/>
      <c r="O372" s="74"/>
      <c r="P372" s="74"/>
      <c r="Q372" s="74"/>
      <c r="R372" s="74"/>
      <c r="S372" s="74"/>
      <c r="T372" s="74"/>
      <c r="U372" s="74"/>
      <c r="V372" s="74"/>
      <c r="W372" s="74"/>
      <c r="X372" s="74"/>
      <c r="Y372" s="74"/>
      <c r="Z372" s="74"/>
    </row>
    <row r="373">
      <c r="A373" s="74"/>
      <c r="B373" s="73"/>
      <c r="C373" s="73"/>
      <c r="D373" s="73"/>
      <c r="E373" s="73"/>
      <c r="F373" s="74"/>
      <c r="G373" s="74"/>
      <c r="H373" s="74"/>
      <c r="I373" s="74"/>
      <c r="J373" s="74"/>
      <c r="K373" s="74"/>
      <c r="L373" s="74"/>
      <c r="M373" s="74"/>
      <c r="N373" s="74"/>
      <c r="O373" s="74"/>
      <c r="P373" s="74"/>
      <c r="Q373" s="74"/>
      <c r="R373" s="74"/>
      <c r="S373" s="74"/>
      <c r="T373" s="74"/>
      <c r="U373" s="74"/>
      <c r="V373" s="74"/>
      <c r="W373" s="74"/>
      <c r="X373" s="74"/>
      <c r="Y373" s="74"/>
      <c r="Z373" s="74"/>
    </row>
    <row r="374">
      <c r="A374" s="74"/>
      <c r="B374" s="73"/>
      <c r="C374" s="73"/>
      <c r="D374" s="73"/>
      <c r="E374" s="73"/>
      <c r="F374" s="74"/>
      <c r="G374" s="74"/>
      <c r="H374" s="74"/>
      <c r="I374" s="74"/>
      <c r="J374" s="74"/>
      <c r="K374" s="74"/>
      <c r="L374" s="74"/>
      <c r="M374" s="74"/>
      <c r="N374" s="74"/>
      <c r="O374" s="74"/>
      <c r="P374" s="74"/>
      <c r="Q374" s="74"/>
      <c r="R374" s="74"/>
      <c r="S374" s="74"/>
      <c r="T374" s="74"/>
      <c r="U374" s="74"/>
      <c r="V374" s="74"/>
      <c r="W374" s="74"/>
      <c r="X374" s="74"/>
      <c r="Y374" s="74"/>
      <c r="Z374" s="74"/>
    </row>
    <row r="375">
      <c r="A375" s="74"/>
      <c r="B375" s="73"/>
      <c r="C375" s="73"/>
      <c r="D375" s="73"/>
      <c r="E375" s="73"/>
      <c r="F375" s="74"/>
      <c r="G375" s="74"/>
      <c r="H375" s="74"/>
      <c r="I375" s="74"/>
      <c r="J375" s="74"/>
      <c r="K375" s="74"/>
      <c r="L375" s="74"/>
      <c r="M375" s="74"/>
      <c r="N375" s="74"/>
      <c r="O375" s="74"/>
      <c r="P375" s="74"/>
      <c r="Q375" s="74"/>
      <c r="R375" s="74"/>
      <c r="S375" s="74"/>
      <c r="T375" s="74"/>
      <c r="U375" s="74"/>
      <c r="V375" s="74"/>
      <c r="W375" s="74"/>
      <c r="X375" s="74"/>
      <c r="Y375" s="74"/>
      <c r="Z375" s="74"/>
    </row>
    <row r="376">
      <c r="A376" s="74"/>
      <c r="B376" s="73"/>
      <c r="C376" s="73"/>
      <c r="D376" s="73"/>
      <c r="E376" s="73"/>
      <c r="F376" s="74"/>
      <c r="G376" s="74"/>
      <c r="H376" s="74"/>
      <c r="I376" s="74"/>
      <c r="J376" s="74"/>
      <c r="K376" s="74"/>
      <c r="L376" s="74"/>
      <c r="M376" s="74"/>
      <c r="N376" s="74"/>
      <c r="O376" s="74"/>
      <c r="P376" s="74"/>
      <c r="Q376" s="74"/>
      <c r="R376" s="74"/>
      <c r="S376" s="74"/>
      <c r="T376" s="74"/>
      <c r="U376" s="74"/>
      <c r="V376" s="74"/>
      <c r="W376" s="74"/>
      <c r="X376" s="74"/>
      <c r="Y376" s="74"/>
      <c r="Z376" s="74"/>
    </row>
    <row r="377">
      <c r="A377" s="74"/>
      <c r="B377" s="73"/>
      <c r="C377" s="73"/>
      <c r="D377" s="73"/>
      <c r="E377" s="73"/>
      <c r="F377" s="74"/>
      <c r="G377" s="74"/>
      <c r="H377" s="74"/>
      <c r="I377" s="74"/>
      <c r="J377" s="74"/>
      <c r="K377" s="74"/>
      <c r="L377" s="74"/>
      <c r="M377" s="74"/>
      <c r="N377" s="74"/>
      <c r="O377" s="74"/>
      <c r="P377" s="74"/>
      <c r="Q377" s="74"/>
      <c r="R377" s="74"/>
      <c r="S377" s="74"/>
      <c r="T377" s="74"/>
      <c r="U377" s="74"/>
      <c r="V377" s="74"/>
      <c r="W377" s="74"/>
      <c r="X377" s="74"/>
      <c r="Y377" s="74"/>
      <c r="Z377" s="74"/>
    </row>
    <row r="378">
      <c r="A378" s="74"/>
      <c r="B378" s="73"/>
      <c r="C378" s="73"/>
      <c r="D378" s="73"/>
      <c r="E378" s="73"/>
      <c r="F378" s="74"/>
      <c r="G378" s="74"/>
      <c r="H378" s="74"/>
      <c r="I378" s="74"/>
      <c r="J378" s="74"/>
      <c r="K378" s="74"/>
      <c r="L378" s="74"/>
      <c r="M378" s="74"/>
      <c r="N378" s="74"/>
      <c r="O378" s="74"/>
      <c r="P378" s="74"/>
      <c r="Q378" s="74"/>
      <c r="R378" s="74"/>
      <c r="S378" s="74"/>
      <c r="T378" s="74"/>
      <c r="U378" s="74"/>
      <c r="V378" s="74"/>
      <c r="W378" s="74"/>
      <c r="X378" s="74"/>
      <c r="Y378" s="74"/>
      <c r="Z378" s="74"/>
    </row>
    <row r="379">
      <c r="A379" s="74"/>
      <c r="B379" s="73"/>
      <c r="C379" s="73"/>
      <c r="D379" s="73"/>
      <c r="E379" s="73"/>
      <c r="F379" s="74"/>
      <c r="G379" s="74"/>
      <c r="H379" s="74"/>
      <c r="I379" s="74"/>
      <c r="J379" s="74"/>
      <c r="K379" s="74"/>
      <c r="L379" s="74"/>
      <c r="M379" s="74"/>
      <c r="N379" s="74"/>
      <c r="O379" s="74"/>
      <c r="P379" s="74"/>
      <c r="Q379" s="74"/>
      <c r="R379" s="74"/>
      <c r="S379" s="74"/>
      <c r="T379" s="74"/>
      <c r="U379" s="74"/>
      <c r="V379" s="74"/>
      <c r="W379" s="74"/>
      <c r="X379" s="74"/>
      <c r="Y379" s="74"/>
      <c r="Z379" s="74"/>
    </row>
    <row r="380">
      <c r="A380" s="74"/>
      <c r="B380" s="73"/>
      <c r="C380" s="73"/>
      <c r="D380" s="73"/>
      <c r="E380" s="73"/>
      <c r="F380" s="74"/>
      <c r="G380" s="74"/>
      <c r="H380" s="74"/>
      <c r="I380" s="74"/>
      <c r="J380" s="74"/>
      <c r="K380" s="74"/>
      <c r="L380" s="74"/>
      <c r="M380" s="74"/>
      <c r="N380" s="74"/>
      <c r="O380" s="74"/>
      <c r="P380" s="74"/>
      <c r="Q380" s="74"/>
      <c r="R380" s="74"/>
      <c r="S380" s="74"/>
      <c r="T380" s="74"/>
      <c r="U380" s="74"/>
      <c r="V380" s="74"/>
      <c r="W380" s="74"/>
      <c r="X380" s="74"/>
      <c r="Y380" s="74"/>
      <c r="Z380" s="74"/>
    </row>
    <row r="381">
      <c r="A381" s="74"/>
      <c r="B381" s="73"/>
      <c r="C381" s="73"/>
      <c r="D381" s="73"/>
      <c r="E381" s="73"/>
      <c r="F381" s="74"/>
      <c r="G381" s="74"/>
      <c r="H381" s="74"/>
      <c r="I381" s="74"/>
      <c r="J381" s="74"/>
      <c r="K381" s="74"/>
      <c r="L381" s="74"/>
      <c r="M381" s="74"/>
      <c r="N381" s="74"/>
      <c r="O381" s="74"/>
      <c r="P381" s="74"/>
      <c r="Q381" s="74"/>
      <c r="R381" s="74"/>
      <c r="S381" s="74"/>
      <c r="T381" s="74"/>
      <c r="U381" s="74"/>
      <c r="V381" s="74"/>
      <c r="W381" s="74"/>
      <c r="X381" s="74"/>
      <c r="Y381" s="74"/>
      <c r="Z381" s="74"/>
    </row>
    <row r="382">
      <c r="A382" s="74"/>
      <c r="B382" s="73"/>
      <c r="C382" s="73"/>
      <c r="D382" s="73"/>
      <c r="E382" s="73"/>
      <c r="F382" s="74"/>
      <c r="G382" s="74"/>
      <c r="H382" s="74"/>
      <c r="I382" s="74"/>
      <c r="J382" s="74"/>
      <c r="K382" s="74"/>
      <c r="L382" s="74"/>
      <c r="M382" s="74"/>
      <c r="N382" s="74"/>
      <c r="O382" s="74"/>
      <c r="P382" s="74"/>
      <c r="Q382" s="74"/>
      <c r="R382" s="74"/>
      <c r="S382" s="74"/>
      <c r="T382" s="74"/>
      <c r="U382" s="74"/>
      <c r="V382" s="74"/>
      <c r="W382" s="74"/>
      <c r="X382" s="74"/>
      <c r="Y382" s="74"/>
      <c r="Z382" s="74"/>
    </row>
    <row r="383">
      <c r="A383" s="74"/>
      <c r="B383" s="73"/>
      <c r="C383" s="73"/>
      <c r="D383" s="73"/>
      <c r="E383" s="73"/>
      <c r="F383" s="74"/>
      <c r="G383" s="74"/>
      <c r="H383" s="74"/>
      <c r="I383" s="74"/>
      <c r="J383" s="74"/>
      <c r="K383" s="74"/>
      <c r="L383" s="74"/>
      <c r="M383" s="74"/>
      <c r="N383" s="74"/>
      <c r="O383" s="74"/>
      <c r="P383" s="74"/>
      <c r="Q383" s="74"/>
      <c r="R383" s="74"/>
      <c r="S383" s="74"/>
      <c r="T383" s="74"/>
      <c r="U383" s="74"/>
      <c r="V383" s="74"/>
      <c r="W383" s="74"/>
      <c r="X383" s="74"/>
      <c r="Y383" s="74"/>
      <c r="Z383" s="74"/>
    </row>
    <row r="384">
      <c r="A384" s="74"/>
      <c r="B384" s="73"/>
      <c r="C384" s="73"/>
      <c r="D384" s="73"/>
      <c r="E384" s="73"/>
      <c r="F384" s="74"/>
      <c r="G384" s="74"/>
      <c r="H384" s="74"/>
      <c r="I384" s="74"/>
      <c r="J384" s="74"/>
      <c r="K384" s="74"/>
      <c r="L384" s="74"/>
      <c r="M384" s="74"/>
      <c r="N384" s="74"/>
      <c r="O384" s="74"/>
      <c r="P384" s="74"/>
      <c r="Q384" s="74"/>
      <c r="R384" s="74"/>
      <c r="S384" s="74"/>
      <c r="T384" s="74"/>
      <c r="U384" s="74"/>
      <c r="V384" s="74"/>
      <c r="W384" s="74"/>
      <c r="X384" s="74"/>
      <c r="Y384" s="74"/>
      <c r="Z384" s="74"/>
    </row>
    <row r="385">
      <c r="A385" s="74"/>
      <c r="B385" s="73"/>
      <c r="C385" s="73"/>
      <c r="D385" s="73"/>
      <c r="E385" s="73"/>
      <c r="F385" s="74"/>
      <c r="G385" s="74"/>
      <c r="H385" s="74"/>
      <c r="I385" s="74"/>
      <c r="J385" s="74"/>
      <c r="K385" s="74"/>
      <c r="L385" s="74"/>
      <c r="M385" s="74"/>
      <c r="N385" s="74"/>
      <c r="O385" s="74"/>
      <c r="P385" s="74"/>
      <c r="Q385" s="74"/>
      <c r="R385" s="74"/>
      <c r="S385" s="74"/>
      <c r="T385" s="74"/>
      <c r="U385" s="74"/>
      <c r="V385" s="74"/>
      <c r="W385" s="74"/>
      <c r="X385" s="74"/>
      <c r="Y385" s="74"/>
      <c r="Z385" s="74"/>
    </row>
    <row r="386">
      <c r="A386" s="74"/>
      <c r="B386" s="73"/>
      <c r="C386" s="73"/>
      <c r="D386" s="73"/>
      <c r="E386" s="73"/>
      <c r="F386" s="74"/>
      <c r="G386" s="74"/>
      <c r="H386" s="74"/>
      <c r="I386" s="74"/>
      <c r="J386" s="74"/>
      <c r="K386" s="74"/>
      <c r="L386" s="74"/>
      <c r="M386" s="74"/>
      <c r="N386" s="74"/>
      <c r="O386" s="74"/>
      <c r="P386" s="74"/>
      <c r="Q386" s="74"/>
      <c r="R386" s="74"/>
      <c r="S386" s="74"/>
      <c r="T386" s="74"/>
      <c r="U386" s="74"/>
      <c r="V386" s="74"/>
      <c r="W386" s="74"/>
      <c r="X386" s="74"/>
      <c r="Y386" s="74"/>
      <c r="Z386" s="74"/>
    </row>
    <row r="387">
      <c r="A387" s="74"/>
      <c r="B387" s="73"/>
      <c r="C387" s="73"/>
      <c r="D387" s="73"/>
      <c r="E387" s="73"/>
      <c r="F387" s="74"/>
      <c r="G387" s="74"/>
      <c r="H387" s="74"/>
      <c r="I387" s="74"/>
      <c r="J387" s="74"/>
      <c r="K387" s="74"/>
      <c r="L387" s="74"/>
      <c r="M387" s="74"/>
      <c r="N387" s="74"/>
      <c r="O387" s="74"/>
      <c r="P387" s="74"/>
      <c r="Q387" s="74"/>
      <c r="R387" s="74"/>
      <c r="S387" s="74"/>
      <c r="T387" s="74"/>
      <c r="U387" s="74"/>
      <c r="V387" s="74"/>
      <c r="W387" s="74"/>
      <c r="X387" s="74"/>
      <c r="Y387" s="74"/>
      <c r="Z387" s="74"/>
    </row>
    <row r="388">
      <c r="A388" s="74"/>
      <c r="B388" s="73"/>
      <c r="C388" s="73"/>
      <c r="D388" s="73"/>
      <c r="E388" s="73"/>
      <c r="F388" s="74"/>
      <c r="G388" s="74"/>
      <c r="H388" s="74"/>
      <c r="I388" s="74"/>
      <c r="J388" s="74"/>
      <c r="K388" s="74"/>
      <c r="L388" s="74"/>
      <c r="M388" s="74"/>
      <c r="N388" s="74"/>
      <c r="O388" s="74"/>
      <c r="P388" s="74"/>
      <c r="Q388" s="74"/>
      <c r="R388" s="74"/>
      <c r="S388" s="74"/>
      <c r="T388" s="74"/>
      <c r="U388" s="74"/>
      <c r="V388" s="74"/>
      <c r="W388" s="74"/>
      <c r="X388" s="74"/>
      <c r="Y388" s="74"/>
      <c r="Z388" s="74"/>
    </row>
    <row r="389">
      <c r="A389" s="74"/>
      <c r="B389" s="73"/>
      <c r="C389" s="73"/>
      <c r="D389" s="73"/>
      <c r="E389" s="73"/>
      <c r="F389" s="74"/>
      <c r="G389" s="74"/>
      <c r="H389" s="74"/>
      <c r="I389" s="74"/>
      <c r="J389" s="74"/>
      <c r="K389" s="74"/>
      <c r="L389" s="74"/>
      <c r="M389" s="74"/>
      <c r="N389" s="74"/>
      <c r="O389" s="74"/>
      <c r="P389" s="74"/>
      <c r="Q389" s="74"/>
      <c r="R389" s="74"/>
      <c r="S389" s="74"/>
      <c r="T389" s="74"/>
      <c r="U389" s="74"/>
      <c r="V389" s="74"/>
      <c r="W389" s="74"/>
      <c r="X389" s="74"/>
      <c r="Y389" s="74"/>
      <c r="Z389" s="74"/>
    </row>
    <row r="390">
      <c r="A390" s="74"/>
      <c r="B390" s="73"/>
      <c r="C390" s="73"/>
      <c r="D390" s="73"/>
      <c r="E390" s="73"/>
      <c r="F390" s="74"/>
      <c r="G390" s="74"/>
      <c r="H390" s="74"/>
      <c r="I390" s="74"/>
      <c r="J390" s="74"/>
      <c r="K390" s="74"/>
      <c r="L390" s="74"/>
      <c r="M390" s="74"/>
      <c r="N390" s="74"/>
      <c r="O390" s="74"/>
      <c r="P390" s="74"/>
      <c r="Q390" s="74"/>
      <c r="R390" s="74"/>
      <c r="S390" s="74"/>
      <c r="T390" s="74"/>
      <c r="U390" s="74"/>
      <c r="V390" s="74"/>
      <c r="W390" s="74"/>
      <c r="X390" s="74"/>
      <c r="Y390" s="74"/>
      <c r="Z390" s="74"/>
    </row>
    <row r="391">
      <c r="A391" s="74"/>
      <c r="B391" s="73"/>
      <c r="C391" s="73"/>
      <c r="D391" s="73"/>
      <c r="E391" s="73"/>
      <c r="F391" s="74"/>
      <c r="G391" s="74"/>
      <c r="H391" s="74"/>
      <c r="I391" s="74"/>
      <c r="J391" s="74"/>
      <c r="K391" s="74"/>
      <c r="L391" s="74"/>
      <c r="M391" s="74"/>
      <c r="N391" s="74"/>
      <c r="O391" s="74"/>
      <c r="P391" s="74"/>
      <c r="Q391" s="74"/>
      <c r="R391" s="74"/>
      <c r="S391" s="74"/>
      <c r="T391" s="74"/>
      <c r="U391" s="74"/>
      <c r="V391" s="74"/>
      <c r="W391" s="74"/>
      <c r="X391" s="74"/>
      <c r="Y391" s="74"/>
      <c r="Z391" s="74"/>
    </row>
    <row r="392">
      <c r="A392" s="74"/>
      <c r="B392" s="73"/>
      <c r="C392" s="73"/>
      <c r="D392" s="73"/>
      <c r="E392" s="73"/>
      <c r="F392" s="74"/>
      <c r="G392" s="74"/>
      <c r="H392" s="74"/>
      <c r="I392" s="74"/>
      <c r="J392" s="74"/>
      <c r="K392" s="74"/>
      <c r="L392" s="74"/>
      <c r="M392" s="74"/>
      <c r="N392" s="74"/>
      <c r="O392" s="74"/>
      <c r="P392" s="74"/>
      <c r="Q392" s="74"/>
      <c r="R392" s="74"/>
      <c r="S392" s="74"/>
      <c r="T392" s="74"/>
      <c r="U392" s="74"/>
      <c r="V392" s="74"/>
      <c r="W392" s="74"/>
      <c r="X392" s="74"/>
      <c r="Y392" s="74"/>
      <c r="Z392" s="74"/>
    </row>
    <row r="393">
      <c r="A393" s="74"/>
      <c r="B393" s="73"/>
      <c r="C393" s="73"/>
      <c r="D393" s="73"/>
      <c r="E393" s="73"/>
      <c r="F393" s="74"/>
      <c r="G393" s="74"/>
      <c r="H393" s="74"/>
      <c r="I393" s="74"/>
      <c r="J393" s="74"/>
      <c r="K393" s="74"/>
      <c r="L393" s="74"/>
      <c r="M393" s="74"/>
      <c r="N393" s="74"/>
      <c r="O393" s="74"/>
      <c r="P393" s="74"/>
      <c r="Q393" s="74"/>
      <c r="R393" s="74"/>
      <c r="S393" s="74"/>
      <c r="T393" s="74"/>
      <c r="U393" s="74"/>
      <c r="V393" s="74"/>
      <c r="W393" s="74"/>
      <c r="X393" s="74"/>
      <c r="Y393" s="74"/>
      <c r="Z393" s="74"/>
    </row>
    <row r="394">
      <c r="A394" s="74"/>
      <c r="B394" s="73"/>
      <c r="C394" s="73"/>
      <c r="D394" s="73"/>
      <c r="E394" s="73"/>
      <c r="F394" s="74"/>
      <c r="G394" s="74"/>
      <c r="H394" s="74"/>
      <c r="I394" s="74"/>
      <c r="J394" s="74"/>
      <c r="K394" s="74"/>
      <c r="L394" s="74"/>
      <c r="M394" s="74"/>
      <c r="N394" s="74"/>
      <c r="O394" s="74"/>
      <c r="P394" s="74"/>
      <c r="Q394" s="74"/>
      <c r="R394" s="74"/>
      <c r="S394" s="74"/>
      <c r="T394" s="74"/>
      <c r="U394" s="74"/>
      <c r="V394" s="74"/>
      <c r="W394" s="74"/>
      <c r="X394" s="74"/>
      <c r="Y394" s="74"/>
      <c r="Z394" s="74"/>
    </row>
    <row r="395">
      <c r="A395" s="74"/>
      <c r="B395" s="73"/>
      <c r="C395" s="73"/>
      <c r="D395" s="73"/>
      <c r="E395" s="73"/>
      <c r="F395" s="74"/>
      <c r="G395" s="74"/>
      <c r="H395" s="74"/>
      <c r="I395" s="74"/>
      <c r="J395" s="74"/>
      <c r="K395" s="74"/>
      <c r="L395" s="74"/>
      <c r="M395" s="74"/>
      <c r="N395" s="74"/>
      <c r="O395" s="74"/>
      <c r="P395" s="74"/>
      <c r="Q395" s="74"/>
      <c r="R395" s="74"/>
      <c r="S395" s="74"/>
      <c r="T395" s="74"/>
      <c r="U395" s="74"/>
      <c r="V395" s="74"/>
      <c r="W395" s="74"/>
      <c r="X395" s="74"/>
      <c r="Y395" s="74"/>
      <c r="Z395" s="74"/>
    </row>
    <row r="396">
      <c r="A396" s="74"/>
      <c r="B396" s="73"/>
      <c r="C396" s="73"/>
      <c r="D396" s="73"/>
      <c r="E396" s="73"/>
      <c r="F396" s="74"/>
      <c r="G396" s="74"/>
      <c r="H396" s="74"/>
      <c r="I396" s="74"/>
      <c r="J396" s="74"/>
      <c r="K396" s="74"/>
      <c r="L396" s="74"/>
      <c r="M396" s="74"/>
      <c r="N396" s="74"/>
      <c r="O396" s="74"/>
      <c r="P396" s="74"/>
      <c r="Q396" s="74"/>
      <c r="R396" s="74"/>
      <c r="S396" s="74"/>
      <c r="T396" s="74"/>
      <c r="U396" s="74"/>
      <c r="V396" s="74"/>
      <c r="W396" s="74"/>
      <c r="X396" s="74"/>
      <c r="Y396" s="74"/>
      <c r="Z396" s="74"/>
    </row>
    <row r="397">
      <c r="A397" s="74"/>
      <c r="B397" s="73"/>
      <c r="C397" s="73"/>
      <c r="D397" s="73"/>
      <c r="E397" s="73"/>
      <c r="F397" s="74"/>
      <c r="G397" s="74"/>
      <c r="H397" s="74"/>
      <c r="I397" s="74"/>
      <c r="J397" s="74"/>
      <c r="K397" s="74"/>
      <c r="L397" s="74"/>
      <c r="M397" s="74"/>
      <c r="N397" s="74"/>
      <c r="O397" s="74"/>
      <c r="P397" s="74"/>
      <c r="Q397" s="74"/>
      <c r="R397" s="74"/>
      <c r="S397" s="74"/>
      <c r="T397" s="74"/>
      <c r="U397" s="74"/>
      <c r="V397" s="74"/>
      <c r="W397" s="74"/>
      <c r="X397" s="74"/>
      <c r="Y397" s="74"/>
      <c r="Z397" s="74"/>
    </row>
    <row r="398">
      <c r="A398" s="74"/>
      <c r="B398" s="73"/>
      <c r="C398" s="73"/>
      <c r="D398" s="73"/>
      <c r="E398" s="73"/>
      <c r="F398" s="74"/>
      <c r="G398" s="74"/>
      <c r="H398" s="74"/>
      <c r="I398" s="74"/>
      <c r="J398" s="74"/>
      <c r="K398" s="74"/>
      <c r="L398" s="74"/>
      <c r="M398" s="74"/>
      <c r="N398" s="74"/>
      <c r="O398" s="74"/>
      <c r="P398" s="74"/>
      <c r="Q398" s="74"/>
      <c r="R398" s="74"/>
      <c r="S398" s="74"/>
      <c r="T398" s="74"/>
      <c r="U398" s="74"/>
      <c r="V398" s="74"/>
      <c r="W398" s="74"/>
      <c r="X398" s="74"/>
      <c r="Y398" s="74"/>
      <c r="Z398" s="74"/>
    </row>
    <row r="399">
      <c r="A399" s="74"/>
      <c r="B399" s="73"/>
      <c r="C399" s="73"/>
      <c r="D399" s="73"/>
      <c r="E399" s="73"/>
      <c r="F399" s="74"/>
      <c r="G399" s="74"/>
      <c r="H399" s="74"/>
      <c r="I399" s="74"/>
      <c r="J399" s="74"/>
      <c r="K399" s="74"/>
      <c r="L399" s="74"/>
      <c r="M399" s="74"/>
      <c r="N399" s="74"/>
      <c r="O399" s="74"/>
      <c r="P399" s="74"/>
      <c r="Q399" s="74"/>
      <c r="R399" s="74"/>
      <c r="S399" s="74"/>
      <c r="T399" s="74"/>
      <c r="U399" s="74"/>
      <c r="V399" s="74"/>
      <c r="W399" s="74"/>
      <c r="X399" s="74"/>
      <c r="Y399" s="74"/>
      <c r="Z399" s="74"/>
    </row>
    <row r="400">
      <c r="A400" s="74"/>
      <c r="B400" s="73"/>
      <c r="C400" s="73"/>
      <c r="D400" s="73"/>
      <c r="E400" s="73"/>
      <c r="F400" s="74"/>
      <c r="G400" s="74"/>
      <c r="H400" s="74"/>
      <c r="I400" s="74"/>
      <c r="J400" s="74"/>
      <c r="K400" s="74"/>
      <c r="L400" s="74"/>
      <c r="M400" s="74"/>
      <c r="N400" s="74"/>
      <c r="O400" s="74"/>
      <c r="P400" s="74"/>
      <c r="Q400" s="74"/>
      <c r="R400" s="74"/>
      <c r="S400" s="74"/>
      <c r="T400" s="74"/>
      <c r="U400" s="74"/>
      <c r="V400" s="74"/>
      <c r="W400" s="74"/>
      <c r="X400" s="74"/>
      <c r="Y400" s="74"/>
      <c r="Z400" s="74"/>
    </row>
    <row r="401">
      <c r="A401" s="74"/>
      <c r="B401" s="73"/>
      <c r="C401" s="73"/>
      <c r="D401" s="73"/>
      <c r="E401" s="73"/>
      <c r="F401" s="74"/>
      <c r="G401" s="74"/>
      <c r="H401" s="74"/>
      <c r="I401" s="74"/>
      <c r="J401" s="74"/>
      <c r="K401" s="74"/>
      <c r="L401" s="74"/>
      <c r="M401" s="74"/>
      <c r="N401" s="74"/>
      <c r="O401" s="74"/>
      <c r="P401" s="74"/>
      <c r="Q401" s="74"/>
      <c r="R401" s="74"/>
      <c r="S401" s="74"/>
      <c r="T401" s="74"/>
      <c r="U401" s="74"/>
      <c r="V401" s="74"/>
      <c r="W401" s="74"/>
      <c r="X401" s="74"/>
      <c r="Y401" s="74"/>
      <c r="Z401" s="74"/>
    </row>
    <row r="402">
      <c r="A402" s="74"/>
      <c r="B402" s="73"/>
      <c r="C402" s="73"/>
      <c r="D402" s="73"/>
      <c r="E402" s="73"/>
      <c r="F402" s="74"/>
      <c r="G402" s="74"/>
      <c r="H402" s="74"/>
      <c r="I402" s="74"/>
      <c r="J402" s="74"/>
      <c r="K402" s="74"/>
      <c r="L402" s="74"/>
      <c r="M402" s="74"/>
      <c r="N402" s="74"/>
      <c r="O402" s="74"/>
      <c r="P402" s="74"/>
      <c r="Q402" s="74"/>
      <c r="R402" s="74"/>
      <c r="S402" s="74"/>
      <c r="T402" s="74"/>
      <c r="U402" s="74"/>
      <c r="V402" s="74"/>
      <c r="W402" s="74"/>
      <c r="X402" s="74"/>
      <c r="Y402" s="74"/>
      <c r="Z402" s="74"/>
    </row>
    <row r="403">
      <c r="A403" s="74"/>
      <c r="B403" s="73"/>
      <c r="C403" s="73"/>
      <c r="D403" s="73"/>
      <c r="E403" s="73"/>
      <c r="F403" s="74"/>
      <c r="G403" s="74"/>
      <c r="H403" s="74"/>
      <c r="I403" s="74"/>
      <c r="J403" s="74"/>
      <c r="K403" s="74"/>
      <c r="L403" s="74"/>
      <c r="M403" s="74"/>
      <c r="N403" s="74"/>
      <c r="O403" s="74"/>
      <c r="P403" s="74"/>
      <c r="Q403" s="74"/>
      <c r="R403" s="74"/>
      <c r="S403" s="74"/>
      <c r="T403" s="74"/>
      <c r="U403" s="74"/>
      <c r="V403" s="74"/>
      <c r="W403" s="74"/>
      <c r="X403" s="74"/>
      <c r="Y403" s="74"/>
      <c r="Z403" s="74"/>
    </row>
    <row r="404">
      <c r="A404" s="74"/>
      <c r="B404" s="73"/>
      <c r="C404" s="73"/>
      <c r="D404" s="73"/>
      <c r="E404" s="73"/>
      <c r="F404" s="74"/>
      <c r="G404" s="74"/>
      <c r="H404" s="74"/>
      <c r="I404" s="74"/>
      <c r="J404" s="74"/>
      <c r="K404" s="74"/>
      <c r="L404" s="74"/>
      <c r="M404" s="74"/>
      <c r="N404" s="74"/>
      <c r="O404" s="74"/>
      <c r="P404" s="74"/>
      <c r="Q404" s="74"/>
      <c r="R404" s="74"/>
      <c r="S404" s="74"/>
      <c r="T404" s="74"/>
      <c r="U404" s="74"/>
      <c r="V404" s="74"/>
      <c r="W404" s="74"/>
      <c r="X404" s="74"/>
      <c r="Y404" s="74"/>
      <c r="Z404" s="74"/>
    </row>
    <row r="405">
      <c r="A405" s="74"/>
      <c r="B405" s="73"/>
      <c r="C405" s="73"/>
      <c r="D405" s="73"/>
      <c r="E405" s="73"/>
      <c r="F405" s="74"/>
      <c r="G405" s="74"/>
      <c r="H405" s="74"/>
      <c r="I405" s="74"/>
      <c r="J405" s="74"/>
      <c r="K405" s="74"/>
      <c r="L405" s="74"/>
      <c r="M405" s="74"/>
      <c r="N405" s="74"/>
      <c r="O405" s="74"/>
      <c r="P405" s="74"/>
      <c r="Q405" s="74"/>
      <c r="R405" s="74"/>
      <c r="S405" s="74"/>
      <c r="T405" s="74"/>
      <c r="U405" s="74"/>
      <c r="V405" s="74"/>
      <c r="W405" s="74"/>
      <c r="X405" s="74"/>
      <c r="Y405" s="74"/>
      <c r="Z405" s="74"/>
    </row>
    <row r="406">
      <c r="A406" s="74"/>
      <c r="B406" s="73"/>
      <c r="C406" s="73"/>
      <c r="D406" s="73"/>
      <c r="E406" s="73"/>
      <c r="F406" s="74"/>
      <c r="G406" s="74"/>
      <c r="H406" s="74"/>
      <c r="I406" s="74"/>
      <c r="J406" s="74"/>
      <c r="K406" s="74"/>
      <c r="L406" s="74"/>
      <c r="M406" s="74"/>
      <c r="N406" s="74"/>
      <c r="O406" s="74"/>
      <c r="P406" s="74"/>
      <c r="Q406" s="74"/>
      <c r="R406" s="74"/>
      <c r="S406" s="74"/>
      <c r="T406" s="74"/>
      <c r="U406" s="74"/>
      <c r="V406" s="74"/>
      <c r="W406" s="74"/>
      <c r="X406" s="74"/>
      <c r="Y406" s="74"/>
      <c r="Z406" s="74"/>
    </row>
    <row r="407">
      <c r="A407" s="74"/>
      <c r="B407" s="73"/>
      <c r="C407" s="73"/>
      <c r="D407" s="73"/>
      <c r="E407" s="73"/>
      <c r="F407" s="74"/>
      <c r="G407" s="74"/>
      <c r="H407" s="74"/>
      <c r="I407" s="74"/>
      <c r="J407" s="74"/>
      <c r="K407" s="74"/>
      <c r="L407" s="74"/>
      <c r="M407" s="74"/>
      <c r="N407" s="74"/>
      <c r="O407" s="74"/>
      <c r="P407" s="74"/>
      <c r="Q407" s="74"/>
      <c r="R407" s="74"/>
      <c r="S407" s="74"/>
      <c r="T407" s="74"/>
      <c r="U407" s="74"/>
      <c r="V407" s="74"/>
      <c r="W407" s="74"/>
      <c r="X407" s="74"/>
      <c r="Y407" s="74"/>
      <c r="Z407" s="74"/>
    </row>
    <row r="408">
      <c r="A408" s="74"/>
      <c r="B408" s="73"/>
      <c r="C408" s="73"/>
      <c r="D408" s="73"/>
      <c r="E408" s="73"/>
      <c r="F408" s="74"/>
      <c r="G408" s="74"/>
      <c r="H408" s="74"/>
      <c r="I408" s="74"/>
      <c r="J408" s="74"/>
      <c r="K408" s="74"/>
      <c r="L408" s="74"/>
      <c r="M408" s="74"/>
      <c r="N408" s="74"/>
      <c r="O408" s="74"/>
      <c r="P408" s="74"/>
      <c r="Q408" s="74"/>
      <c r="R408" s="74"/>
      <c r="S408" s="74"/>
      <c r="T408" s="74"/>
      <c r="U408" s="74"/>
      <c r="V408" s="74"/>
      <c r="W408" s="74"/>
      <c r="X408" s="74"/>
      <c r="Y408" s="74"/>
      <c r="Z408" s="74"/>
    </row>
    <row r="409">
      <c r="A409" s="74"/>
      <c r="B409" s="73"/>
      <c r="C409" s="73"/>
      <c r="D409" s="73"/>
      <c r="E409" s="73"/>
      <c r="F409" s="74"/>
      <c r="G409" s="74"/>
      <c r="H409" s="74"/>
      <c r="I409" s="74"/>
      <c r="J409" s="74"/>
      <c r="K409" s="74"/>
      <c r="L409" s="74"/>
      <c r="M409" s="74"/>
      <c r="N409" s="74"/>
      <c r="O409" s="74"/>
      <c r="P409" s="74"/>
      <c r="Q409" s="74"/>
      <c r="R409" s="74"/>
      <c r="S409" s="74"/>
      <c r="T409" s="74"/>
      <c r="U409" s="74"/>
      <c r="V409" s="74"/>
      <c r="W409" s="74"/>
      <c r="X409" s="74"/>
      <c r="Y409" s="74"/>
      <c r="Z409" s="74"/>
    </row>
    <row r="410">
      <c r="A410" s="74"/>
      <c r="B410" s="73"/>
      <c r="C410" s="73"/>
      <c r="D410" s="73"/>
      <c r="E410" s="73"/>
      <c r="F410" s="74"/>
      <c r="G410" s="74"/>
      <c r="H410" s="74"/>
      <c r="I410" s="74"/>
      <c r="J410" s="74"/>
      <c r="K410" s="74"/>
      <c r="L410" s="74"/>
      <c r="M410" s="74"/>
      <c r="N410" s="74"/>
      <c r="O410" s="74"/>
      <c r="P410" s="74"/>
      <c r="Q410" s="74"/>
      <c r="R410" s="74"/>
      <c r="S410" s="74"/>
      <c r="T410" s="74"/>
      <c r="U410" s="74"/>
      <c r="V410" s="74"/>
      <c r="W410" s="74"/>
      <c r="X410" s="74"/>
      <c r="Y410" s="74"/>
      <c r="Z410" s="74"/>
    </row>
    <row r="411">
      <c r="A411" s="74"/>
      <c r="B411" s="73"/>
      <c r="C411" s="73"/>
      <c r="D411" s="73"/>
      <c r="E411" s="73"/>
      <c r="F411" s="74"/>
      <c r="G411" s="74"/>
      <c r="H411" s="74"/>
      <c r="I411" s="74"/>
      <c r="J411" s="74"/>
      <c r="K411" s="74"/>
      <c r="L411" s="74"/>
      <c r="M411" s="74"/>
      <c r="N411" s="74"/>
      <c r="O411" s="74"/>
      <c r="P411" s="74"/>
      <c r="Q411" s="74"/>
      <c r="R411" s="74"/>
      <c r="S411" s="74"/>
      <c r="T411" s="74"/>
      <c r="U411" s="74"/>
      <c r="V411" s="74"/>
      <c r="W411" s="74"/>
      <c r="X411" s="74"/>
      <c r="Y411" s="74"/>
      <c r="Z411" s="74"/>
    </row>
    <row r="412">
      <c r="A412" s="74"/>
      <c r="B412" s="73"/>
      <c r="C412" s="73"/>
      <c r="D412" s="73"/>
      <c r="E412" s="73"/>
      <c r="F412" s="74"/>
      <c r="G412" s="74"/>
      <c r="H412" s="74"/>
      <c r="I412" s="74"/>
      <c r="J412" s="74"/>
      <c r="K412" s="74"/>
      <c r="L412" s="74"/>
      <c r="M412" s="74"/>
      <c r="N412" s="74"/>
      <c r="O412" s="74"/>
      <c r="P412" s="74"/>
      <c r="Q412" s="74"/>
      <c r="R412" s="74"/>
      <c r="S412" s="74"/>
      <c r="T412" s="74"/>
      <c r="U412" s="74"/>
      <c r="V412" s="74"/>
      <c r="W412" s="74"/>
      <c r="X412" s="74"/>
      <c r="Y412" s="74"/>
      <c r="Z412" s="74"/>
    </row>
    <row r="413">
      <c r="A413" s="74"/>
      <c r="B413" s="73"/>
      <c r="C413" s="73"/>
      <c r="D413" s="73"/>
      <c r="E413" s="73"/>
      <c r="F413" s="74"/>
      <c r="G413" s="74"/>
      <c r="H413" s="74"/>
      <c r="I413" s="74"/>
      <c r="J413" s="74"/>
      <c r="K413" s="74"/>
      <c r="L413" s="74"/>
      <c r="M413" s="74"/>
      <c r="N413" s="74"/>
      <c r="O413" s="74"/>
      <c r="P413" s="74"/>
      <c r="Q413" s="74"/>
      <c r="R413" s="74"/>
      <c r="S413" s="74"/>
      <c r="T413" s="74"/>
      <c r="U413" s="74"/>
      <c r="V413" s="74"/>
      <c r="W413" s="74"/>
      <c r="X413" s="74"/>
      <c r="Y413" s="74"/>
      <c r="Z413" s="74"/>
    </row>
    <row r="414">
      <c r="A414" s="74"/>
      <c r="B414" s="73"/>
      <c r="C414" s="73"/>
      <c r="D414" s="73"/>
      <c r="E414" s="73"/>
      <c r="F414" s="74"/>
      <c r="G414" s="74"/>
      <c r="H414" s="74"/>
      <c r="I414" s="74"/>
      <c r="J414" s="74"/>
      <c r="K414" s="74"/>
      <c r="L414" s="74"/>
      <c r="M414" s="74"/>
      <c r="N414" s="74"/>
      <c r="O414" s="74"/>
      <c r="P414" s="74"/>
      <c r="Q414" s="74"/>
      <c r="R414" s="74"/>
      <c r="S414" s="74"/>
      <c r="T414" s="74"/>
      <c r="U414" s="74"/>
      <c r="V414" s="74"/>
      <c r="W414" s="74"/>
      <c r="X414" s="74"/>
      <c r="Y414" s="74"/>
      <c r="Z414" s="74"/>
    </row>
    <row r="415">
      <c r="A415" s="74"/>
      <c r="B415" s="73"/>
      <c r="C415" s="73"/>
      <c r="D415" s="73"/>
      <c r="E415" s="73"/>
      <c r="F415" s="74"/>
      <c r="G415" s="74"/>
      <c r="H415" s="74"/>
      <c r="I415" s="74"/>
      <c r="J415" s="74"/>
      <c r="K415" s="74"/>
      <c r="L415" s="74"/>
      <c r="M415" s="74"/>
      <c r="N415" s="74"/>
      <c r="O415" s="74"/>
      <c r="P415" s="74"/>
      <c r="Q415" s="74"/>
      <c r="R415" s="74"/>
      <c r="S415" s="74"/>
      <c r="T415" s="74"/>
      <c r="U415" s="74"/>
      <c r="V415" s="74"/>
      <c r="W415" s="74"/>
      <c r="X415" s="74"/>
      <c r="Y415" s="74"/>
      <c r="Z415" s="74"/>
    </row>
    <row r="416">
      <c r="A416" s="74"/>
      <c r="B416" s="73"/>
      <c r="C416" s="73"/>
      <c r="D416" s="73"/>
      <c r="E416" s="73"/>
      <c r="F416" s="74"/>
      <c r="G416" s="74"/>
      <c r="H416" s="74"/>
      <c r="I416" s="74"/>
      <c r="J416" s="74"/>
      <c r="K416" s="74"/>
      <c r="L416" s="74"/>
      <c r="M416" s="74"/>
      <c r="N416" s="74"/>
      <c r="O416" s="74"/>
      <c r="P416" s="74"/>
      <c r="Q416" s="74"/>
      <c r="R416" s="74"/>
      <c r="S416" s="74"/>
      <c r="T416" s="74"/>
      <c r="U416" s="74"/>
      <c r="V416" s="74"/>
      <c r="W416" s="74"/>
      <c r="X416" s="74"/>
      <c r="Y416" s="74"/>
      <c r="Z416" s="74"/>
    </row>
    <row r="417">
      <c r="A417" s="74"/>
      <c r="B417" s="73"/>
      <c r="C417" s="73"/>
      <c r="D417" s="73"/>
      <c r="E417" s="73"/>
      <c r="F417" s="74"/>
      <c r="G417" s="74"/>
      <c r="H417" s="74"/>
      <c r="I417" s="74"/>
      <c r="J417" s="74"/>
      <c r="K417" s="74"/>
      <c r="L417" s="74"/>
      <c r="M417" s="74"/>
      <c r="N417" s="74"/>
      <c r="O417" s="74"/>
      <c r="P417" s="74"/>
      <c r="Q417" s="74"/>
      <c r="R417" s="74"/>
      <c r="S417" s="74"/>
      <c r="T417" s="74"/>
      <c r="U417" s="74"/>
      <c r="V417" s="74"/>
      <c r="W417" s="74"/>
      <c r="X417" s="74"/>
      <c r="Y417" s="74"/>
      <c r="Z417" s="74"/>
    </row>
    <row r="418">
      <c r="A418" s="74"/>
      <c r="B418" s="73"/>
      <c r="C418" s="73"/>
      <c r="D418" s="73"/>
      <c r="E418" s="73"/>
      <c r="F418" s="74"/>
      <c r="G418" s="74"/>
      <c r="H418" s="74"/>
      <c r="I418" s="74"/>
      <c r="J418" s="74"/>
      <c r="K418" s="74"/>
      <c r="L418" s="74"/>
      <c r="M418" s="74"/>
      <c r="N418" s="74"/>
      <c r="O418" s="74"/>
      <c r="P418" s="74"/>
      <c r="Q418" s="74"/>
      <c r="R418" s="74"/>
      <c r="S418" s="74"/>
      <c r="T418" s="74"/>
      <c r="U418" s="74"/>
      <c r="V418" s="74"/>
      <c r="W418" s="74"/>
      <c r="X418" s="74"/>
      <c r="Y418" s="74"/>
      <c r="Z418" s="74"/>
    </row>
    <row r="419">
      <c r="A419" s="74"/>
      <c r="B419" s="73"/>
      <c r="C419" s="73"/>
      <c r="D419" s="73"/>
      <c r="E419" s="73"/>
      <c r="F419" s="74"/>
      <c r="G419" s="74"/>
      <c r="H419" s="74"/>
      <c r="I419" s="74"/>
      <c r="J419" s="74"/>
      <c r="K419" s="74"/>
      <c r="L419" s="74"/>
      <c r="M419" s="74"/>
      <c r="N419" s="74"/>
      <c r="O419" s="74"/>
      <c r="P419" s="74"/>
      <c r="Q419" s="74"/>
      <c r="R419" s="74"/>
      <c r="S419" s="74"/>
      <c r="T419" s="74"/>
      <c r="U419" s="74"/>
      <c r="V419" s="74"/>
      <c r="W419" s="74"/>
      <c r="X419" s="74"/>
      <c r="Y419" s="74"/>
      <c r="Z419" s="74"/>
    </row>
    <row r="420">
      <c r="A420" s="74"/>
      <c r="B420" s="73"/>
      <c r="C420" s="73"/>
      <c r="D420" s="73"/>
      <c r="E420" s="73"/>
      <c r="F420" s="74"/>
      <c r="G420" s="74"/>
      <c r="H420" s="74"/>
      <c r="I420" s="74"/>
      <c r="J420" s="74"/>
      <c r="K420" s="74"/>
      <c r="L420" s="74"/>
      <c r="M420" s="74"/>
      <c r="N420" s="74"/>
      <c r="O420" s="74"/>
      <c r="P420" s="74"/>
      <c r="Q420" s="74"/>
      <c r="R420" s="74"/>
      <c r="S420" s="74"/>
      <c r="T420" s="74"/>
      <c r="U420" s="74"/>
      <c r="V420" s="74"/>
      <c r="W420" s="74"/>
      <c r="X420" s="74"/>
      <c r="Y420" s="74"/>
      <c r="Z420" s="74"/>
    </row>
    <row r="421">
      <c r="A421" s="74"/>
      <c r="B421" s="73"/>
      <c r="C421" s="73"/>
      <c r="D421" s="73"/>
      <c r="E421" s="73"/>
      <c r="F421" s="74"/>
      <c r="G421" s="74"/>
      <c r="H421" s="74"/>
      <c r="I421" s="74"/>
      <c r="J421" s="74"/>
      <c r="K421" s="74"/>
      <c r="L421" s="74"/>
      <c r="M421" s="74"/>
      <c r="N421" s="74"/>
      <c r="O421" s="74"/>
      <c r="P421" s="74"/>
      <c r="Q421" s="74"/>
      <c r="R421" s="74"/>
      <c r="S421" s="74"/>
      <c r="T421" s="74"/>
      <c r="U421" s="74"/>
      <c r="V421" s="74"/>
      <c r="W421" s="74"/>
      <c r="X421" s="74"/>
      <c r="Y421" s="74"/>
      <c r="Z421" s="74"/>
    </row>
    <row r="422">
      <c r="A422" s="74"/>
      <c r="B422" s="73"/>
      <c r="C422" s="73"/>
      <c r="D422" s="73"/>
      <c r="E422" s="73"/>
      <c r="F422" s="74"/>
      <c r="G422" s="74"/>
      <c r="H422" s="74"/>
      <c r="I422" s="74"/>
      <c r="J422" s="74"/>
      <c r="K422" s="74"/>
      <c r="L422" s="74"/>
      <c r="M422" s="74"/>
      <c r="N422" s="74"/>
      <c r="O422" s="74"/>
      <c r="P422" s="74"/>
      <c r="Q422" s="74"/>
      <c r="R422" s="74"/>
      <c r="S422" s="74"/>
      <c r="T422" s="74"/>
      <c r="U422" s="74"/>
      <c r="V422" s="74"/>
      <c r="W422" s="74"/>
      <c r="X422" s="74"/>
      <c r="Y422" s="74"/>
      <c r="Z422" s="74"/>
    </row>
    <row r="423">
      <c r="A423" s="74"/>
      <c r="B423" s="73"/>
      <c r="C423" s="73"/>
      <c r="D423" s="73"/>
      <c r="E423" s="73"/>
      <c r="F423" s="74"/>
      <c r="G423" s="74"/>
      <c r="H423" s="74"/>
      <c r="I423" s="74"/>
      <c r="J423" s="74"/>
      <c r="K423" s="74"/>
      <c r="L423" s="74"/>
      <c r="M423" s="74"/>
      <c r="N423" s="74"/>
      <c r="O423" s="74"/>
      <c r="P423" s="74"/>
      <c r="Q423" s="74"/>
      <c r="R423" s="74"/>
      <c r="S423" s="74"/>
      <c r="T423" s="74"/>
      <c r="U423" s="74"/>
      <c r="V423" s="74"/>
      <c r="W423" s="74"/>
      <c r="X423" s="74"/>
      <c r="Y423" s="74"/>
      <c r="Z423" s="74"/>
    </row>
    <row r="424">
      <c r="A424" s="74"/>
      <c r="B424" s="73"/>
      <c r="C424" s="73"/>
      <c r="D424" s="73"/>
      <c r="E424" s="73"/>
      <c r="F424" s="74"/>
      <c r="G424" s="74"/>
      <c r="H424" s="74"/>
      <c r="I424" s="74"/>
      <c r="J424" s="74"/>
      <c r="K424" s="74"/>
      <c r="L424" s="74"/>
      <c r="M424" s="74"/>
      <c r="N424" s="74"/>
      <c r="O424" s="74"/>
      <c r="P424" s="74"/>
      <c r="Q424" s="74"/>
      <c r="R424" s="74"/>
      <c r="S424" s="74"/>
      <c r="T424" s="74"/>
      <c r="U424" s="74"/>
      <c r="V424" s="74"/>
      <c r="W424" s="74"/>
      <c r="X424" s="74"/>
      <c r="Y424" s="74"/>
      <c r="Z424" s="74"/>
    </row>
    <row r="425">
      <c r="A425" s="74"/>
      <c r="B425" s="73"/>
      <c r="C425" s="73"/>
      <c r="D425" s="73"/>
      <c r="E425" s="73"/>
      <c r="F425" s="74"/>
      <c r="G425" s="74"/>
      <c r="H425" s="74"/>
      <c r="I425" s="74"/>
      <c r="J425" s="74"/>
      <c r="K425" s="74"/>
      <c r="L425" s="74"/>
      <c r="M425" s="74"/>
      <c r="N425" s="74"/>
      <c r="O425" s="74"/>
      <c r="P425" s="74"/>
      <c r="Q425" s="74"/>
      <c r="R425" s="74"/>
      <c r="S425" s="74"/>
      <c r="T425" s="74"/>
      <c r="U425" s="74"/>
      <c r="V425" s="74"/>
      <c r="W425" s="74"/>
      <c r="X425" s="74"/>
      <c r="Y425" s="74"/>
      <c r="Z425" s="74"/>
    </row>
    <row r="426">
      <c r="A426" s="74"/>
      <c r="B426" s="73"/>
      <c r="C426" s="73"/>
      <c r="D426" s="73"/>
      <c r="E426" s="73"/>
      <c r="F426" s="74"/>
      <c r="G426" s="74"/>
      <c r="H426" s="74"/>
      <c r="I426" s="74"/>
      <c r="J426" s="74"/>
      <c r="K426" s="74"/>
      <c r="L426" s="74"/>
      <c r="M426" s="74"/>
      <c r="N426" s="74"/>
      <c r="O426" s="74"/>
      <c r="P426" s="74"/>
      <c r="Q426" s="74"/>
      <c r="R426" s="74"/>
      <c r="S426" s="74"/>
      <c r="T426" s="74"/>
      <c r="U426" s="74"/>
      <c r="V426" s="74"/>
      <c r="W426" s="74"/>
      <c r="X426" s="74"/>
      <c r="Y426" s="74"/>
      <c r="Z426" s="74"/>
    </row>
    <row r="427">
      <c r="A427" s="74"/>
      <c r="B427" s="73"/>
      <c r="C427" s="73"/>
      <c r="D427" s="73"/>
      <c r="E427" s="73"/>
      <c r="F427" s="74"/>
      <c r="G427" s="74"/>
      <c r="H427" s="74"/>
      <c r="I427" s="74"/>
      <c r="J427" s="74"/>
      <c r="K427" s="74"/>
      <c r="L427" s="74"/>
      <c r="M427" s="74"/>
      <c r="N427" s="74"/>
      <c r="O427" s="74"/>
      <c r="P427" s="74"/>
      <c r="Q427" s="74"/>
      <c r="R427" s="74"/>
      <c r="S427" s="74"/>
      <c r="T427" s="74"/>
      <c r="U427" s="74"/>
      <c r="V427" s="74"/>
      <c r="W427" s="74"/>
      <c r="X427" s="74"/>
      <c r="Y427" s="74"/>
      <c r="Z427" s="74"/>
    </row>
    <row r="428">
      <c r="A428" s="74"/>
      <c r="B428" s="73"/>
      <c r="C428" s="73"/>
      <c r="D428" s="73"/>
      <c r="E428" s="73"/>
      <c r="F428" s="74"/>
      <c r="G428" s="74"/>
      <c r="H428" s="74"/>
      <c r="I428" s="74"/>
      <c r="J428" s="74"/>
      <c r="K428" s="74"/>
      <c r="L428" s="74"/>
      <c r="M428" s="74"/>
      <c r="N428" s="74"/>
      <c r="O428" s="74"/>
      <c r="P428" s="74"/>
      <c r="Q428" s="74"/>
      <c r="R428" s="74"/>
      <c r="S428" s="74"/>
      <c r="T428" s="74"/>
      <c r="U428" s="74"/>
      <c r="V428" s="74"/>
      <c r="W428" s="74"/>
      <c r="X428" s="74"/>
      <c r="Y428" s="74"/>
      <c r="Z428" s="74"/>
    </row>
    <row r="429">
      <c r="A429" s="74"/>
      <c r="B429" s="73"/>
      <c r="C429" s="73"/>
      <c r="D429" s="73"/>
      <c r="E429" s="73"/>
      <c r="F429" s="74"/>
      <c r="G429" s="74"/>
      <c r="H429" s="74"/>
      <c r="I429" s="74"/>
      <c r="J429" s="74"/>
      <c r="K429" s="74"/>
      <c r="L429" s="74"/>
      <c r="M429" s="74"/>
      <c r="N429" s="74"/>
      <c r="O429" s="74"/>
      <c r="P429" s="74"/>
      <c r="Q429" s="74"/>
      <c r="R429" s="74"/>
      <c r="S429" s="74"/>
      <c r="T429" s="74"/>
      <c r="U429" s="74"/>
      <c r="V429" s="74"/>
      <c r="W429" s="74"/>
      <c r="X429" s="74"/>
      <c r="Y429" s="74"/>
      <c r="Z429" s="74"/>
    </row>
    <row r="430">
      <c r="A430" s="74"/>
      <c r="B430" s="73"/>
      <c r="C430" s="73"/>
      <c r="D430" s="73"/>
      <c r="E430" s="73"/>
      <c r="F430" s="74"/>
      <c r="G430" s="74"/>
      <c r="H430" s="74"/>
      <c r="I430" s="74"/>
      <c r="J430" s="74"/>
      <c r="K430" s="74"/>
      <c r="L430" s="74"/>
      <c r="M430" s="74"/>
      <c r="N430" s="74"/>
      <c r="O430" s="74"/>
      <c r="P430" s="74"/>
      <c r="Q430" s="74"/>
      <c r="R430" s="74"/>
      <c r="S430" s="74"/>
      <c r="T430" s="74"/>
      <c r="U430" s="74"/>
      <c r="V430" s="74"/>
      <c r="W430" s="74"/>
      <c r="X430" s="74"/>
      <c r="Y430" s="74"/>
      <c r="Z430" s="74"/>
    </row>
    <row r="431">
      <c r="A431" s="74"/>
      <c r="B431" s="73"/>
      <c r="C431" s="73"/>
      <c r="D431" s="73"/>
      <c r="E431" s="73"/>
      <c r="F431" s="74"/>
      <c r="G431" s="74"/>
      <c r="H431" s="74"/>
      <c r="I431" s="74"/>
      <c r="J431" s="74"/>
      <c r="K431" s="74"/>
      <c r="L431" s="74"/>
      <c r="M431" s="74"/>
      <c r="N431" s="74"/>
      <c r="O431" s="74"/>
      <c r="P431" s="74"/>
      <c r="Q431" s="74"/>
      <c r="R431" s="74"/>
      <c r="S431" s="74"/>
      <c r="T431" s="74"/>
      <c r="U431" s="74"/>
      <c r="V431" s="74"/>
      <c r="W431" s="74"/>
      <c r="X431" s="74"/>
      <c r="Y431" s="74"/>
      <c r="Z431" s="74"/>
    </row>
    <row r="432">
      <c r="A432" s="74"/>
      <c r="B432" s="73"/>
      <c r="C432" s="73"/>
      <c r="D432" s="73"/>
      <c r="E432" s="73"/>
      <c r="F432" s="74"/>
      <c r="G432" s="74"/>
      <c r="H432" s="74"/>
      <c r="I432" s="74"/>
      <c r="J432" s="74"/>
      <c r="K432" s="74"/>
      <c r="L432" s="74"/>
      <c r="M432" s="74"/>
      <c r="N432" s="74"/>
      <c r="O432" s="74"/>
      <c r="P432" s="74"/>
      <c r="Q432" s="74"/>
      <c r="R432" s="74"/>
      <c r="S432" s="74"/>
      <c r="T432" s="74"/>
      <c r="U432" s="74"/>
      <c r="V432" s="74"/>
      <c r="W432" s="74"/>
      <c r="X432" s="74"/>
      <c r="Y432" s="74"/>
      <c r="Z432" s="74"/>
    </row>
    <row r="433">
      <c r="A433" s="74"/>
      <c r="B433" s="73"/>
      <c r="C433" s="73"/>
      <c r="D433" s="73"/>
      <c r="E433" s="73"/>
      <c r="F433" s="74"/>
      <c r="G433" s="74"/>
      <c r="H433" s="74"/>
      <c r="I433" s="74"/>
      <c r="J433" s="74"/>
      <c r="K433" s="74"/>
      <c r="L433" s="74"/>
      <c r="M433" s="74"/>
      <c r="N433" s="74"/>
      <c r="O433" s="74"/>
      <c r="P433" s="74"/>
      <c r="Q433" s="74"/>
      <c r="R433" s="74"/>
      <c r="S433" s="74"/>
      <c r="T433" s="74"/>
      <c r="U433" s="74"/>
      <c r="V433" s="74"/>
      <c r="W433" s="74"/>
      <c r="X433" s="74"/>
      <c r="Y433" s="74"/>
      <c r="Z433" s="74"/>
    </row>
    <row r="434">
      <c r="A434" s="74"/>
      <c r="B434" s="73"/>
      <c r="C434" s="73"/>
      <c r="D434" s="73"/>
      <c r="E434" s="73"/>
      <c r="F434" s="74"/>
      <c r="G434" s="74"/>
      <c r="H434" s="74"/>
      <c r="I434" s="74"/>
      <c r="J434" s="74"/>
      <c r="K434" s="74"/>
      <c r="L434" s="74"/>
      <c r="M434" s="74"/>
      <c r="N434" s="74"/>
      <c r="O434" s="74"/>
      <c r="P434" s="74"/>
      <c r="Q434" s="74"/>
      <c r="R434" s="74"/>
      <c r="S434" s="74"/>
      <c r="T434" s="74"/>
      <c r="U434" s="74"/>
      <c r="V434" s="74"/>
      <c r="W434" s="74"/>
      <c r="X434" s="74"/>
      <c r="Y434" s="74"/>
      <c r="Z434" s="74"/>
    </row>
    <row r="435">
      <c r="A435" s="74"/>
      <c r="B435" s="73"/>
      <c r="C435" s="73"/>
      <c r="D435" s="73"/>
      <c r="E435" s="73"/>
      <c r="F435" s="74"/>
      <c r="G435" s="74"/>
      <c r="H435" s="74"/>
      <c r="I435" s="74"/>
      <c r="J435" s="74"/>
      <c r="K435" s="74"/>
      <c r="L435" s="74"/>
      <c r="M435" s="74"/>
      <c r="N435" s="74"/>
      <c r="O435" s="74"/>
      <c r="P435" s="74"/>
      <c r="Q435" s="74"/>
      <c r="R435" s="74"/>
      <c r="S435" s="74"/>
      <c r="T435" s="74"/>
      <c r="U435" s="74"/>
      <c r="V435" s="74"/>
      <c r="W435" s="74"/>
      <c r="X435" s="74"/>
      <c r="Y435" s="74"/>
      <c r="Z435" s="74"/>
    </row>
    <row r="436">
      <c r="A436" s="74"/>
      <c r="B436" s="73"/>
      <c r="C436" s="73"/>
      <c r="D436" s="73"/>
      <c r="E436" s="73"/>
      <c r="F436" s="74"/>
      <c r="G436" s="74"/>
      <c r="H436" s="74"/>
      <c r="I436" s="74"/>
      <c r="J436" s="74"/>
      <c r="K436" s="74"/>
      <c r="L436" s="74"/>
      <c r="M436" s="74"/>
      <c r="N436" s="74"/>
      <c r="O436" s="74"/>
      <c r="P436" s="74"/>
      <c r="Q436" s="74"/>
      <c r="R436" s="74"/>
      <c r="S436" s="74"/>
      <c r="T436" s="74"/>
      <c r="U436" s="74"/>
      <c r="V436" s="74"/>
      <c r="W436" s="74"/>
      <c r="X436" s="74"/>
      <c r="Y436" s="74"/>
      <c r="Z436" s="74"/>
    </row>
    <row r="437">
      <c r="A437" s="74"/>
      <c r="B437" s="73"/>
      <c r="C437" s="73"/>
      <c r="D437" s="73"/>
      <c r="E437" s="73"/>
      <c r="F437" s="74"/>
      <c r="G437" s="74"/>
      <c r="H437" s="74"/>
      <c r="I437" s="74"/>
      <c r="J437" s="74"/>
      <c r="K437" s="74"/>
      <c r="L437" s="74"/>
      <c r="M437" s="74"/>
      <c r="N437" s="74"/>
      <c r="O437" s="74"/>
      <c r="P437" s="74"/>
      <c r="Q437" s="74"/>
      <c r="R437" s="74"/>
      <c r="S437" s="74"/>
      <c r="T437" s="74"/>
      <c r="U437" s="74"/>
      <c r="V437" s="74"/>
      <c r="W437" s="74"/>
      <c r="X437" s="74"/>
      <c r="Y437" s="74"/>
      <c r="Z437" s="74"/>
    </row>
    <row r="438">
      <c r="A438" s="74"/>
      <c r="B438" s="73"/>
      <c r="C438" s="73"/>
      <c r="D438" s="73"/>
      <c r="E438" s="73"/>
      <c r="F438" s="74"/>
      <c r="G438" s="74"/>
      <c r="H438" s="74"/>
      <c r="I438" s="74"/>
      <c r="J438" s="74"/>
      <c r="K438" s="74"/>
      <c r="L438" s="74"/>
      <c r="M438" s="74"/>
      <c r="N438" s="74"/>
      <c r="O438" s="74"/>
      <c r="P438" s="74"/>
      <c r="Q438" s="74"/>
      <c r="R438" s="74"/>
      <c r="S438" s="74"/>
      <c r="T438" s="74"/>
      <c r="U438" s="74"/>
      <c r="V438" s="74"/>
      <c r="W438" s="74"/>
      <c r="X438" s="74"/>
      <c r="Y438" s="74"/>
      <c r="Z438" s="74"/>
    </row>
    <row r="439">
      <c r="A439" s="74"/>
      <c r="B439" s="73"/>
      <c r="C439" s="73"/>
      <c r="D439" s="73"/>
      <c r="E439" s="73"/>
      <c r="F439" s="74"/>
      <c r="G439" s="74"/>
      <c r="H439" s="74"/>
      <c r="I439" s="74"/>
      <c r="J439" s="74"/>
      <c r="K439" s="74"/>
      <c r="L439" s="74"/>
      <c r="M439" s="74"/>
      <c r="N439" s="74"/>
      <c r="O439" s="74"/>
      <c r="P439" s="74"/>
      <c r="Q439" s="74"/>
      <c r="R439" s="74"/>
      <c r="S439" s="74"/>
      <c r="T439" s="74"/>
      <c r="U439" s="74"/>
      <c r="V439" s="74"/>
      <c r="W439" s="74"/>
      <c r="X439" s="74"/>
      <c r="Y439" s="74"/>
      <c r="Z439" s="74"/>
    </row>
    <row r="440">
      <c r="A440" s="74"/>
      <c r="B440" s="73"/>
      <c r="C440" s="73"/>
      <c r="D440" s="73"/>
      <c r="E440" s="73"/>
      <c r="F440" s="74"/>
      <c r="G440" s="74"/>
      <c r="H440" s="74"/>
      <c r="I440" s="74"/>
      <c r="J440" s="74"/>
      <c r="K440" s="74"/>
      <c r="L440" s="74"/>
      <c r="M440" s="74"/>
      <c r="N440" s="74"/>
      <c r="O440" s="74"/>
      <c r="P440" s="74"/>
      <c r="Q440" s="74"/>
      <c r="R440" s="74"/>
      <c r="S440" s="74"/>
      <c r="T440" s="74"/>
      <c r="U440" s="74"/>
      <c r="V440" s="74"/>
      <c r="W440" s="74"/>
      <c r="X440" s="74"/>
      <c r="Y440" s="74"/>
      <c r="Z440" s="74"/>
    </row>
    <row r="441">
      <c r="A441" s="74"/>
      <c r="B441" s="73"/>
      <c r="C441" s="73"/>
      <c r="D441" s="73"/>
      <c r="E441" s="73"/>
      <c r="F441" s="74"/>
      <c r="G441" s="74"/>
      <c r="H441" s="74"/>
      <c r="I441" s="74"/>
      <c r="J441" s="74"/>
      <c r="K441" s="74"/>
      <c r="L441" s="74"/>
      <c r="M441" s="74"/>
      <c r="N441" s="74"/>
      <c r="O441" s="74"/>
      <c r="P441" s="74"/>
      <c r="Q441" s="74"/>
      <c r="R441" s="74"/>
      <c r="S441" s="74"/>
      <c r="T441" s="74"/>
      <c r="U441" s="74"/>
      <c r="V441" s="74"/>
      <c r="W441" s="74"/>
      <c r="X441" s="74"/>
      <c r="Y441" s="74"/>
      <c r="Z441" s="74"/>
    </row>
    <row r="442">
      <c r="A442" s="74"/>
      <c r="B442" s="73"/>
      <c r="C442" s="73"/>
      <c r="D442" s="73"/>
      <c r="E442" s="73"/>
      <c r="F442" s="74"/>
      <c r="G442" s="74"/>
      <c r="H442" s="74"/>
      <c r="I442" s="74"/>
      <c r="J442" s="74"/>
      <c r="K442" s="74"/>
      <c r="L442" s="74"/>
      <c r="M442" s="74"/>
      <c r="N442" s="74"/>
      <c r="O442" s="74"/>
      <c r="P442" s="74"/>
      <c r="Q442" s="74"/>
      <c r="R442" s="74"/>
      <c r="S442" s="74"/>
      <c r="T442" s="74"/>
      <c r="U442" s="74"/>
      <c r="V442" s="74"/>
      <c r="W442" s="74"/>
      <c r="X442" s="74"/>
      <c r="Y442" s="74"/>
      <c r="Z442" s="74"/>
    </row>
    <row r="443">
      <c r="A443" s="74"/>
      <c r="B443" s="73"/>
      <c r="C443" s="73"/>
      <c r="D443" s="73"/>
      <c r="E443" s="73"/>
      <c r="F443" s="74"/>
      <c r="G443" s="74"/>
      <c r="H443" s="74"/>
      <c r="I443" s="74"/>
      <c r="J443" s="74"/>
      <c r="K443" s="74"/>
      <c r="L443" s="74"/>
      <c r="M443" s="74"/>
      <c r="N443" s="74"/>
      <c r="O443" s="74"/>
      <c r="P443" s="74"/>
      <c r="Q443" s="74"/>
      <c r="R443" s="74"/>
      <c r="S443" s="74"/>
      <c r="T443" s="74"/>
      <c r="U443" s="74"/>
      <c r="V443" s="74"/>
      <c r="W443" s="74"/>
      <c r="X443" s="74"/>
      <c r="Y443" s="74"/>
      <c r="Z443" s="74"/>
    </row>
    <row r="444">
      <c r="A444" s="74"/>
      <c r="B444" s="73"/>
      <c r="C444" s="73"/>
      <c r="D444" s="73"/>
      <c r="E444" s="73"/>
      <c r="F444" s="74"/>
      <c r="G444" s="74"/>
      <c r="H444" s="74"/>
      <c r="I444" s="74"/>
      <c r="J444" s="74"/>
      <c r="K444" s="74"/>
      <c r="L444" s="74"/>
      <c r="M444" s="74"/>
      <c r="N444" s="74"/>
      <c r="O444" s="74"/>
      <c r="P444" s="74"/>
      <c r="Q444" s="74"/>
      <c r="R444" s="74"/>
      <c r="S444" s="74"/>
      <c r="T444" s="74"/>
      <c r="U444" s="74"/>
      <c r="V444" s="74"/>
      <c r="W444" s="74"/>
      <c r="X444" s="74"/>
      <c r="Y444" s="74"/>
      <c r="Z444" s="74"/>
    </row>
    <row r="445">
      <c r="A445" s="74"/>
      <c r="B445" s="73"/>
      <c r="C445" s="73"/>
      <c r="D445" s="73"/>
      <c r="E445" s="73"/>
      <c r="F445" s="74"/>
      <c r="G445" s="74"/>
      <c r="H445" s="74"/>
      <c r="I445" s="74"/>
      <c r="J445" s="74"/>
      <c r="K445" s="74"/>
      <c r="L445" s="74"/>
      <c r="M445" s="74"/>
      <c r="N445" s="74"/>
      <c r="O445" s="74"/>
      <c r="P445" s="74"/>
      <c r="Q445" s="74"/>
      <c r="R445" s="74"/>
      <c r="S445" s="74"/>
      <c r="T445" s="74"/>
      <c r="U445" s="74"/>
      <c r="V445" s="74"/>
      <c r="W445" s="74"/>
      <c r="X445" s="74"/>
      <c r="Y445" s="74"/>
      <c r="Z445" s="74"/>
    </row>
    <row r="446">
      <c r="A446" s="74"/>
      <c r="B446" s="73"/>
      <c r="C446" s="73"/>
      <c r="D446" s="73"/>
      <c r="E446" s="73"/>
      <c r="F446" s="74"/>
      <c r="G446" s="74"/>
      <c r="H446" s="74"/>
      <c r="I446" s="74"/>
      <c r="J446" s="74"/>
      <c r="K446" s="74"/>
      <c r="L446" s="74"/>
      <c r="M446" s="74"/>
      <c r="N446" s="74"/>
      <c r="O446" s="74"/>
      <c r="P446" s="74"/>
      <c r="Q446" s="74"/>
      <c r="R446" s="74"/>
      <c r="S446" s="74"/>
      <c r="T446" s="74"/>
      <c r="U446" s="74"/>
      <c r="V446" s="74"/>
      <c r="W446" s="74"/>
      <c r="X446" s="74"/>
      <c r="Y446" s="74"/>
      <c r="Z446" s="74"/>
    </row>
    <row r="447">
      <c r="A447" s="74"/>
      <c r="B447" s="73"/>
      <c r="C447" s="73"/>
      <c r="D447" s="73"/>
      <c r="E447" s="73"/>
      <c r="F447" s="74"/>
      <c r="G447" s="74"/>
      <c r="H447" s="74"/>
      <c r="I447" s="74"/>
      <c r="J447" s="74"/>
      <c r="K447" s="74"/>
      <c r="L447" s="74"/>
      <c r="M447" s="74"/>
      <c r="N447" s="74"/>
      <c r="O447" s="74"/>
      <c r="P447" s="74"/>
      <c r="Q447" s="74"/>
      <c r="R447" s="74"/>
      <c r="S447" s="74"/>
      <c r="T447" s="74"/>
      <c r="U447" s="74"/>
      <c r="V447" s="74"/>
      <c r="W447" s="74"/>
      <c r="X447" s="74"/>
      <c r="Y447" s="74"/>
      <c r="Z447" s="74"/>
    </row>
    <row r="448">
      <c r="A448" s="74"/>
      <c r="B448" s="73"/>
      <c r="C448" s="73"/>
      <c r="D448" s="73"/>
      <c r="E448" s="73"/>
      <c r="F448" s="74"/>
      <c r="G448" s="74"/>
      <c r="H448" s="74"/>
      <c r="I448" s="74"/>
      <c r="J448" s="74"/>
      <c r="K448" s="74"/>
      <c r="L448" s="74"/>
      <c r="M448" s="74"/>
      <c r="N448" s="74"/>
      <c r="O448" s="74"/>
      <c r="P448" s="74"/>
      <c r="Q448" s="74"/>
      <c r="R448" s="74"/>
      <c r="S448" s="74"/>
      <c r="T448" s="74"/>
      <c r="U448" s="74"/>
      <c r="V448" s="74"/>
      <c r="W448" s="74"/>
      <c r="X448" s="74"/>
      <c r="Y448" s="74"/>
      <c r="Z448" s="74"/>
    </row>
    <row r="449">
      <c r="A449" s="74"/>
      <c r="B449" s="73"/>
      <c r="C449" s="73"/>
      <c r="D449" s="73"/>
      <c r="E449" s="73"/>
      <c r="F449" s="74"/>
      <c r="G449" s="74"/>
      <c r="H449" s="74"/>
      <c r="I449" s="74"/>
      <c r="J449" s="74"/>
      <c r="K449" s="74"/>
      <c r="L449" s="74"/>
      <c r="M449" s="74"/>
      <c r="N449" s="74"/>
      <c r="O449" s="74"/>
      <c r="P449" s="74"/>
      <c r="Q449" s="74"/>
      <c r="R449" s="74"/>
      <c r="S449" s="74"/>
      <c r="T449" s="74"/>
      <c r="U449" s="74"/>
      <c r="V449" s="74"/>
      <c r="W449" s="74"/>
      <c r="X449" s="74"/>
      <c r="Y449" s="74"/>
      <c r="Z449" s="74"/>
    </row>
    <row r="450">
      <c r="A450" s="74"/>
      <c r="B450" s="73"/>
      <c r="C450" s="73"/>
      <c r="D450" s="73"/>
      <c r="E450" s="73"/>
      <c r="F450" s="74"/>
      <c r="G450" s="74"/>
      <c r="H450" s="74"/>
      <c r="I450" s="74"/>
      <c r="J450" s="74"/>
      <c r="K450" s="74"/>
      <c r="L450" s="74"/>
      <c r="M450" s="74"/>
      <c r="N450" s="74"/>
      <c r="O450" s="74"/>
      <c r="P450" s="74"/>
      <c r="Q450" s="74"/>
      <c r="R450" s="74"/>
      <c r="S450" s="74"/>
      <c r="T450" s="74"/>
      <c r="U450" s="74"/>
      <c r="V450" s="74"/>
      <c r="W450" s="74"/>
      <c r="X450" s="74"/>
      <c r="Y450" s="74"/>
      <c r="Z450" s="74"/>
    </row>
    <row r="451">
      <c r="A451" s="74"/>
      <c r="B451" s="73"/>
      <c r="C451" s="73"/>
      <c r="D451" s="73"/>
      <c r="E451" s="73"/>
      <c r="F451" s="74"/>
      <c r="G451" s="74"/>
      <c r="H451" s="74"/>
      <c r="I451" s="74"/>
      <c r="J451" s="74"/>
      <c r="K451" s="74"/>
      <c r="L451" s="74"/>
      <c r="M451" s="74"/>
      <c r="N451" s="74"/>
      <c r="O451" s="74"/>
      <c r="P451" s="74"/>
      <c r="Q451" s="74"/>
      <c r="R451" s="74"/>
      <c r="S451" s="74"/>
      <c r="T451" s="74"/>
      <c r="U451" s="74"/>
      <c r="V451" s="74"/>
      <c r="W451" s="74"/>
      <c r="X451" s="74"/>
      <c r="Y451" s="74"/>
      <c r="Z451" s="74"/>
    </row>
    <row r="452">
      <c r="A452" s="74"/>
      <c r="B452" s="73"/>
      <c r="C452" s="73"/>
      <c r="D452" s="73"/>
      <c r="E452" s="73"/>
      <c r="F452" s="74"/>
      <c r="G452" s="74"/>
      <c r="H452" s="74"/>
      <c r="I452" s="74"/>
      <c r="J452" s="74"/>
      <c r="K452" s="74"/>
      <c r="L452" s="74"/>
      <c r="M452" s="74"/>
      <c r="N452" s="74"/>
      <c r="O452" s="74"/>
      <c r="P452" s="74"/>
      <c r="Q452" s="74"/>
      <c r="R452" s="74"/>
      <c r="S452" s="74"/>
      <c r="T452" s="74"/>
      <c r="U452" s="74"/>
      <c r="V452" s="74"/>
      <c r="W452" s="74"/>
      <c r="X452" s="74"/>
      <c r="Y452" s="74"/>
      <c r="Z452" s="74"/>
    </row>
    <row r="453">
      <c r="A453" s="74"/>
      <c r="B453" s="73"/>
      <c r="C453" s="73"/>
      <c r="D453" s="73"/>
      <c r="E453" s="73"/>
      <c r="F453" s="74"/>
      <c r="G453" s="74"/>
      <c r="H453" s="74"/>
      <c r="I453" s="74"/>
      <c r="J453" s="74"/>
      <c r="K453" s="74"/>
      <c r="L453" s="74"/>
      <c r="M453" s="74"/>
      <c r="N453" s="74"/>
      <c r="O453" s="74"/>
      <c r="P453" s="74"/>
      <c r="Q453" s="74"/>
      <c r="R453" s="74"/>
      <c r="S453" s="74"/>
      <c r="T453" s="74"/>
      <c r="U453" s="74"/>
      <c r="V453" s="74"/>
      <c r="W453" s="74"/>
      <c r="X453" s="74"/>
      <c r="Y453" s="74"/>
      <c r="Z453" s="74"/>
    </row>
    <row r="454">
      <c r="A454" s="74"/>
      <c r="B454" s="73"/>
      <c r="C454" s="73"/>
      <c r="D454" s="73"/>
      <c r="E454" s="73"/>
      <c r="F454" s="74"/>
      <c r="G454" s="74"/>
      <c r="H454" s="74"/>
      <c r="I454" s="74"/>
      <c r="J454" s="74"/>
      <c r="K454" s="74"/>
      <c r="L454" s="74"/>
      <c r="M454" s="74"/>
      <c r="N454" s="74"/>
      <c r="O454" s="74"/>
      <c r="P454" s="74"/>
      <c r="Q454" s="74"/>
      <c r="R454" s="74"/>
      <c r="S454" s="74"/>
      <c r="T454" s="74"/>
      <c r="U454" s="74"/>
      <c r="V454" s="74"/>
      <c r="W454" s="74"/>
      <c r="X454" s="74"/>
      <c r="Y454" s="74"/>
      <c r="Z454" s="74"/>
    </row>
    <row r="455">
      <c r="A455" s="74"/>
      <c r="B455" s="73"/>
      <c r="C455" s="73"/>
      <c r="D455" s="73"/>
      <c r="E455" s="73"/>
      <c r="F455" s="74"/>
      <c r="G455" s="74"/>
      <c r="H455" s="74"/>
      <c r="I455" s="74"/>
      <c r="J455" s="74"/>
      <c r="K455" s="74"/>
      <c r="L455" s="74"/>
      <c r="M455" s="74"/>
      <c r="N455" s="74"/>
      <c r="O455" s="74"/>
      <c r="P455" s="74"/>
      <c r="Q455" s="74"/>
      <c r="R455" s="74"/>
      <c r="S455" s="74"/>
      <c r="T455" s="74"/>
      <c r="U455" s="74"/>
      <c r="V455" s="74"/>
      <c r="W455" s="74"/>
      <c r="X455" s="74"/>
      <c r="Y455" s="74"/>
      <c r="Z455" s="74"/>
    </row>
    <row r="456">
      <c r="A456" s="74"/>
      <c r="B456" s="73"/>
      <c r="C456" s="73"/>
      <c r="D456" s="73"/>
      <c r="E456" s="73"/>
      <c r="F456" s="74"/>
      <c r="G456" s="74"/>
      <c r="H456" s="74"/>
      <c r="I456" s="74"/>
      <c r="J456" s="74"/>
      <c r="K456" s="74"/>
      <c r="L456" s="74"/>
      <c r="M456" s="74"/>
      <c r="N456" s="74"/>
      <c r="O456" s="74"/>
      <c r="P456" s="74"/>
      <c r="Q456" s="74"/>
      <c r="R456" s="74"/>
      <c r="S456" s="74"/>
      <c r="T456" s="74"/>
      <c r="U456" s="74"/>
      <c r="V456" s="74"/>
      <c r="W456" s="74"/>
      <c r="X456" s="74"/>
      <c r="Y456" s="74"/>
      <c r="Z456" s="74"/>
    </row>
    <row r="457">
      <c r="A457" s="74"/>
      <c r="B457" s="73"/>
      <c r="C457" s="73"/>
      <c r="D457" s="73"/>
      <c r="E457" s="73"/>
      <c r="F457" s="74"/>
      <c r="G457" s="74"/>
      <c r="H457" s="74"/>
      <c r="I457" s="74"/>
      <c r="J457" s="74"/>
      <c r="K457" s="74"/>
      <c r="L457" s="74"/>
      <c r="M457" s="74"/>
      <c r="N457" s="74"/>
      <c r="O457" s="74"/>
      <c r="P457" s="74"/>
      <c r="Q457" s="74"/>
      <c r="R457" s="74"/>
      <c r="S457" s="74"/>
      <c r="T457" s="74"/>
      <c r="U457" s="74"/>
      <c r="V457" s="74"/>
      <c r="W457" s="74"/>
      <c r="X457" s="74"/>
      <c r="Y457" s="74"/>
      <c r="Z457" s="74"/>
    </row>
    <row r="458">
      <c r="A458" s="74"/>
      <c r="B458" s="73"/>
      <c r="C458" s="73"/>
      <c r="D458" s="73"/>
      <c r="E458" s="73"/>
      <c r="F458" s="74"/>
      <c r="G458" s="74"/>
      <c r="H458" s="74"/>
      <c r="I458" s="74"/>
      <c r="J458" s="74"/>
      <c r="K458" s="74"/>
      <c r="L458" s="74"/>
      <c r="M458" s="74"/>
      <c r="N458" s="74"/>
      <c r="O458" s="74"/>
      <c r="P458" s="74"/>
      <c r="Q458" s="74"/>
      <c r="R458" s="74"/>
      <c r="S458" s="74"/>
      <c r="T458" s="74"/>
      <c r="U458" s="74"/>
      <c r="V458" s="74"/>
      <c r="W458" s="74"/>
      <c r="X458" s="74"/>
      <c r="Y458" s="74"/>
      <c r="Z458" s="74"/>
    </row>
    <row r="459">
      <c r="A459" s="74"/>
      <c r="B459" s="73"/>
      <c r="C459" s="73"/>
      <c r="D459" s="73"/>
      <c r="E459" s="73"/>
      <c r="F459" s="74"/>
      <c r="G459" s="74"/>
      <c r="H459" s="74"/>
      <c r="I459" s="74"/>
      <c r="J459" s="74"/>
      <c r="K459" s="74"/>
      <c r="L459" s="74"/>
      <c r="M459" s="74"/>
      <c r="N459" s="74"/>
      <c r="O459" s="74"/>
      <c r="P459" s="74"/>
      <c r="Q459" s="74"/>
      <c r="R459" s="74"/>
      <c r="S459" s="74"/>
      <c r="T459" s="74"/>
      <c r="U459" s="74"/>
      <c r="V459" s="74"/>
      <c r="W459" s="74"/>
      <c r="X459" s="74"/>
      <c r="Y459" s="74"/>
      <c r="Z459" s="74"/>
    </row>
    <row r="460">
      <c r="A460" s="74"/>
      <c r="B460" s="73"/>
      <c r="C460" s="73"/>
      <c r="D460" s="73"/>
      <c r="E460" s="73"/>
      <c r="F460" s="74"/>
      <c r="G460" s="74"/>
      <c r="H460" s="74"/>
      <c r="I460" s="74"/>
      <c r="J460" s="74"/>
      <c r="K460" s="74"/>
      <c r="L460" s="74"/>
      <c r="M460" s="74"/>
      <c r="N460" s="74"/>
      <c r="O460" s="74"/>
      <c r="P460" s="74"/>
      <c r="Q460" s="74"/>
      <c r="R460" s="74"/>
      <c r="S460" s="74"/>
      <c r="T460" s="74"/>
      <c r="U460" s="74"/>
      <c r="V460" s="74"/>
      <c r="W460" s="74"/>
      <c r="X460" s="74"/>
      <c r="Y460" s="74"/>
      <c r="Z460" s="74"/>
    </row>
    <row r="461">
      <c r="A461" s="74"/>
      <c r="B461" s="73"/>
      <c r="C461" s="73"/>
      <c r="D461" s="73"/>
      <c r="E461" s="73"/>
      <c r="F461" s="74"/>
      <c r="G461" s="74"/>
      <c r="H461" s="74"/>
      <c r="I461" s="74"/>
      <c r="J461" s="74"/>
      <c r="K461" s="74"/>
      <c r="L461" s="74"/>
      <c r="M461" s="74"/>
      <c r="N461" s="74"/>
      <c r="O461" s="74"/>
      <c r="P461" s="74"/>
      <c r="Q461" s="74"/>
      <c r="R461" s="74"/>
      <c r="S461" s="74"/>
      <c r="T461" s="74"/>
      <c r="U461" s="74"/>
      <c r="V461" s="74"/>
      <c r="W461" s="74"/>
      <c r="X461" s="74"/>
      <c r="Y461" s="74"/>
      <c r="Z461" s="74"/>
    </row>
    <row r="462">
      <c r="A462" s="74"/>
      <c r="B462" s="73"/>
      <c r="C462" s="73"/>
      <c r="D462" s="73"/>
      <c r="E462" s="73"/>
      <c r="F462" s="74"/>
      <c r="G462" s="74"/>
      <c r="H462" s="74"/>
      <c r="I462" s="74"/>
      <c r="J462" s="74"/>
      <c r="K462" s="74"/>
      <c r="L462" s="74"/>
      <c r="M462" s="74"/>
      <c r="N462" s="74"/>
      <c r="O462" s="74"/>
      <c r="P462" s="74"/>
      <c r="Q462" s="74"/>
      <c r="R462" s="74"/>
      <c r="S462" s="74"/>
      <c r="T462" s="74"/>
      <c r="U462" s="74"/>
      <c r="V462" s="74"/>
      <c r="W462" s="74"/>
      <c r="X462" s="74"/>
      <c r="Y462" s="74"/>
      <c r="Z462" s="74"/>
    </row>
    <row r="463">
      <c r="A463" s="74"/>
      <c r="B463" s="73"/>
      <c r="C463" s="73"/>
      <c r="D463" s="73"/>
      <c r="E463" s="73"/>
      <c r="F463" s="74"/>
      <c r="G463" s="74"/>
      <c r="H463" s="74"/>
      <c r="I463" s="74"/>
      <c r="J463" s="74"/>
      <c r="K463" s="74"/>
      <c r="L463" s="74"/>
      <c r="M463" s="74"/>
      <c r="N463" s="74"/>
      <c r="O463" s="74"/>
      <c r="P463" s="74"/>
      <c r="Q463" s="74"/>
      <c r="R463" s="74"/>
      <c r="S463" s="74"/>
      <c r="T463" s="74"/>
      <c r="U463" s="74"/>
      <c r="V463" s="74"/>
      <c r="W463" s="74"/>
      <c r="X463" s="74"/>
      <c r="Y463" s="74"/>
      <c r="Z463" s="74"/>
    </row>
    <row r="464">
      <c r="A464" s="74"/>
      <c r="B464" s="73"/>
      <c r="C464" s="73"/>
      <c r="D464" s="73"/>
      <c r="E464" s="73"/>
      <c r="F464" s="74"/>
      <c r="G464" s="74"/>
      <c r="H464" s="74"/>
      <c r="I464" s="74"/>
      <c r="J464" s="74"/>
      <c r="K464" s="74"/>
      <c r="L464" s="74"/>
      <c r="M464" s="74"/>
      <c r="N464" s="74"/>
      <c r="O464" s="74"/>
      <c r="P464" s="74"/>
      <c r="Q464" s="74"/>
      <c r="R464" s="74"/>
      <c r="S464" s="74"/>
      <c r="T464" s="74"/>
      <c r="U464" s="74"/>
      <c r="V464" s="74"/>
      <c r="W464" s="74"/>
      <c r="X464" s="74"/>
      <c r="Y464" s="74"/>
      <c r="Z464" s="74"/>
    </row>
    <row r="465">
      <c r="A465" s="74"/>
      <c r="B465" s="73"/>
      <c r="C465" s="73"/>
      <c r="D465" s="73"/>
      <c r="E465" s="73"/>
      <c r="F465" s="74"/>
      <c r="G465" s="74"/>
      <c r="H465" s="74"/>
      <c r="I465" s="74"/>
      <c r="J465" s="74"/>
      <c r="K465" s="74"/>
      <c r="L465" s="74"/>
      <c r="M465" s="74"/>
      <c r="N465" s="74"/>
      <c r="O465" s="74"/>
      <c r="P465" s="74"/>
      <c r="Q465" s="74"/>
      <c r="R465" s="74"/>
      <c r="S465" s="74"/>
      <c r="T465" s="74"/>
      <c r="U465" s="74"/>
      <c r="V465" s="74"/>
      <c r="W465" s="74"/>
      <c r="X465" s="74"/>
      <c r="Y465" s="74"/>
      <c r="Z465" s="74"/>
    </row>
    <row r="466">
      <c r="A466" s="74"/>
      <c r="B466" s="73"/>
      <c r="C466" s="73"/>
      <c r="D466" s="73"/>
      <c r="E466" s="73"/>
      <c r="F466" s="74"/>
      <c r="G466" s="74"/>
      <c r="H466" s="74"/>
      <c r="I466" s="74"/>
      <c r="J466" s="74"/>
      <c r="K466" s="74"/>
      <c r="L466" s="74"/>
      <c r="M466" s="74"/>
      <c r="N466" s="74"/>
      <c r="O466" s="74"/>
      <c r="P466" s="74"/>
      <c r="Q466" s="74"/>
      <c r="R466" s="74"/>
      <c r="S466" s="74"/>
      <c r="T466" s="74"/>
      <c r="U466" s="74"/>
      <c r="V466" s="74"/>
      <c r="W466" s="74"/>
      <c r="X466" s="74"/>
      <c r="Y466" s="74"/>
      <c r="Z466" s="74"/>
    </row>
    <row r="467">
      <c r="A467" s="74"/>
      <c r="B467" s="73"/>
      <c r="C467" s="73"/>
      <c r="D467" s="73"/>
      <c r="E467" s="73"/>
      <c r="F467" s="74"/>
      <c r="G467" s="74"/>
      <c r="H467" s="74"/>
      <c r="I467" s="74"/>
      <c r="J467" s="74"/>
      <c r="K467" s="74"/>
      <c r="L467" s="74"/>
      <c r="M467" s="74"/>
      <c r="N467" s="74"/>
      <c r="O467" s="74"/>
      <c r="P467" s="74"/>
      <c r="Q467" s="74"/>
      <c r="R467" s="74"/>
      <c r="S467" s="74"/>
      <c r="T467" s="74"/>
      <c r="U467" s="74"/>
      <c r="V467" s="74"/>
      <c r="W467" s="74"/>
      <c r="X467" s="74"/>
      <c r="Y467" s="74"/>
      <c r="Z467" s="74"/>
    </row>
    <row r="468">
      <c r="A468" s="74"/>
      <c r="B468" s="73"/>
      <c r="C468" s="73"/>
      <c r="D468" s="73"/>
      <c r="E468" s="73"/>
      <c r="F468" s="74"/>
      <c r="G468" s="74"/>
      <c r="H468" s="74"/>
      <c r="I468" s="74"/>
      <c r="J468" s="74"/>
      <c r="K468" s="74"/>
      <c r="L468" s="74"/>
      <c r="M468" s="74"/>
      <c r="N468" s="74"/>
      <c r="O468" s="74"/>
      <c r="P468" s="74"/>
      <c r="Q468" s="74"/>
      <c r="R468" s="74"/>
      <c r="S468" s="74"/>
      <c r="T468" s="74"/>
      <c r="U468" s="74"/>
      <c r="V468" s="74"/>
      <c r="W468" s="74"/>
      <c r="X468" s="74"/>
      <c r="Y468" s="74"/>
      <c r="Z468" s="74"/>
    </row>
    <row r="469">
      <c r="A469" s="74"/>
      <c r="B469" s="73"/>
      <c r="C469" s="73"/>
      <c r="D469" s="73"/>
      <c r="E469" s="73"/>
      <c r="F469" s="74"/>
      <c r="G469" s="74"/>
      <c r="H469" s="74"/>
      <c r="I469" s="74"/>
      <c r="J469" s="74"/>
      <c r="K469" s="74"/>
      <c r="L469" s="74"/>
      <c r="M469" s="74"/>
      <c r="N469" s="74"/>
      <c r="O469" s="74"/>
      <c r="P469" s="74"/>
      <c r="Q469" s="74"/>
      <c r="R469" s="74"/>
      <c r="S469" s="74"/>
      <c r="T469" s="74"/>
      <c r="U469" s="74"/>
      <c r="V469" s="74"/>
      <c r="W469" s="74"/>
      <c r="X469" s="74"/>
      <c r="Y469" s="74"/>
      <c r="Z469" s="74"/>
    </row>
    <row r="470">
      <c r="A470" s="74"/>
      <c r="B470" s="73"/>
      <c r="C470" s="73"/>
      <c r="D470" s="73"/>
      <c r="E470" s="73"/>
      <c r="F470" s="74"/>
      <c r="G470" s="74"/>
      <c r="H470" s="74"/>
      <c r="I470" s="74"/>
      <c r="J470" s="74"/>
      <c r="K470" s="74"/>
      <c r="L470" s="74"/>
      <c r="M470" s="74"/>
      <c r="N470" s="74"/>
      <c r="O470" s="74"/>
      <c r="P470" s="74"/>
      <c r="Q470" s="74"/>
      <c r="R470" s="74"/>
      <c r="S470" s="74"/>
      <c r="T470" s="74"/>
      <c r="U470" s="74"/>
      <c r="V470" s="74"/>
      <c r="W470" s="74"/>
      <c r="X470" s="74"/>
      <c r="Y470" s="74"/>
      <c r="Z470" s="74"/>
    </row>
    <row r="471">
      <c r="A471" s="74"/>
      <c r="B471" s="73"/>
      <c r="C471" s="73"/>
      <c r="D471" s="73"/>
      <c r="E471" s="73"/>
      <c r="F471" s="74"/>
      <c r="G471" s="74"/>
      <c r="H471" s="74"/>
      <c r="I471" s="74"/>
      <c r="J471" s="74"/>
      <c r="K471" s="74"/>
      <c r="L471" s="74"/>
      <c r="M471" s="74"/>
      <c r="N471" s="74"/>
      <c r="O471" s="74"/>
      <c r="P471" s="74"/>
      <c r="Q471" s="74"/>
      <c r="R471" s="74"/>
      <c r="S471" s="74"/>
      <c r="T471" s="74"/>
      <c r="U471" s="74"/>
      <c r="V471" s="74"/>
      <c r="W471" s="74"/>
      <c r="X471" s="74"/>
      <c r="Y471" s="74"/>
      <c r="Z471" s="74"/>
    </row>
    <row r="472">
      <c r="A472" s="74"/>
      <c r="B472" s="73"/>
      <c r="C472" s="73"/>
      <c r="D472" s="73"/>
      <c r="E472" s="73"/>
      <c r="F472" s="74"/>
      <c r="G472" s="74"/>
      <c r="H472" s="74"/>
      <c r="I472" s="74"/>
      <c r="J472" s="74"/>
      <c r="K472" s="74"/>
      <c r="L472" s="74"/>
      <c r="M472" s="74"/>
      <c r="N472" s="74"/>
      <c r="O472" s="74"/>
      <c r="P472" s="74"/>
      <c r="Q472" s="74"/>
      <c r="R472" s="74"/>
      <c r="S472" s="74"/>
      <c r="T472" s="74"/>
      <c r="U472" s="74"/>
      <c r="V472" s="74"/>
      <c r="W472" s="74"/>
      <c r="X472" s="74"/>
      <c r="Y472" s="74"/>
      <c r="Z472" s="74"/>
    </row>
    <row r="473">
      <c r="A473" s="74"/>
      <c r="B473" s="73"/>
      <c r="C473" s="73"/>
      <c r="D473" s="73"/>
      <c r="E473" s="73"/>
      <c r="F473" s="74"/>
      <c r="G473" s="74"/>
      <c r="H473" s="74"/>
      <c r="I473" s="74"/>
      <c r="J473" s="74"/>
      <c r="K473" s="74"/>
      <c r="L473" s="74"/>
      <c r="M473" s="74"/>
      <c r="N473" s="74"/>
      <c r="O473" s="74"/>
      <c r="P473" s="74"/>
      <c r="Q473" s="74"/>
      <c r="R473" s="74"/>
      <c r="S473" s="74"/>
      <c r="T473" s="74"/>
      <c r="U473" s="74"/>
      <c r="V473" s="74"/>
      <c r="W473" s="74"/>
      <c r="X473" s="74"/>
      <c r="Y473" s="74"/>
      <c r="Z473" s="74"/>
    </row>
    <row r="474">
      <c r="A474" s="74"/>
      <c r="B474" s="73"/>
      <c r="C474" s="73"/>
      <c r="D474" s="73"/>
      <c r="E474" s="73"/>
      <c r="F474" s="74"/>
      <c r="G474" s="74"/>
      <c r="H474" s="74"/>
      <c r="I474" s="74"/>
      <c r="J474" s="74"/>
      <c r="K474" s="74"/>
      <c r="L474" s="74"/>
      <c r="M474" s="74"/>
      <c r="N474" s="74"/>
      <c r="O474" s="74"/>
      <c r="P474" s="74"/>
      <c r="Q474" s="74"/>
      <c r="R474" s="74"/>
      <c r="S474" s="74"/>
      <c r="T474" s="74"/>
      <c r="U474" s="74"/>
      <c r="V474" s="74"/>
      <c r="W474" s="74"/>
      <c r="X474" s="74"/>
      <c r="Y474" s="74"/>
      <c r="Z474" s="74"/>
    </row>
    <row r="475">
      <c r="A475" s="74"/>
      <c r="B475" s="73"/>
      <c r="C475" s="73"/>
      <c r="D475" s="73"/>
      <c r="E475" s="73"/>
      <c r="F475" s="74"/>
      <c r="G475" s="74"/>
      <c r="H475" s="74"/>
      <c r="I475" s="74"/>
      <c r="J475" s="74"/>
      <c r="K475" s="74"/>
      <c r="L475" s="74"/>
      <c r="M475" s="74"/>
      <c r="N475" s="74"/>
      <c r="O475" s="74"/>
      <c r="P475" s="74"/>
      <c r="Q475" s="74"/>
      <c r="R475" s="74"/>
      <c r="S475" s="74"/>
      <c r="T475" s="74"/>
      <c r="U475" s="74"/>
      <c r="V475" s="74"/>
      <c r="W475" s="74"/>
      <c r="X475" s="74"/>
      <c r="Y475" s="74"/>
      <c r="Z475" s="74"/>
    </row>
    <row r="476">
      <c r="A476" s="74"/>
      <c r="B476" s="73"/>
      <c r="C476" s="73"/>
      <c r="D476" s="73"/>
      <c r="E476" s="73"/>
      <c r="F476" s="74"/>
      <c r="G476" s="74"/>
      <c r="H476" s="74"/>
      <c r="I476" s="74"/>
      <c r="J476" s="74"/>
      <c r="K476" s="74"/>
      <c r="L476" s="74"/>
      <c r="M476" s="74"/>
      <c r="N476" s="74"/>
      <c r="O476" s="74"/>
      <c r="P476" s="74"/>
      <c r="Q476" s="74"/>
      <c r="R476" s="74"/>
      <c r="S476" s="74"/>
      <c r="T476" s="74"/>
      <c r="U476" s="74"/>
      <c r="V476" s="74"/>
      <c r="W476" s="74"/>
      <c r="X476" s="74"/>
      <c r="Y476" s="74"/>
      <c r="Z476" s="74"/>
    </row>
    <row r="477">
      <c r="A477" s="74"/>
      <c r="B477" s="73"/>
      <c r="C477" s="73"/>
      <c r="D477" s="73"/>
      <c r="E477" s="73"/>
      <c r="F477" s="74"/>
      <c r="G477" s="74"/>
      <c r="H477" s="74"/>
      <c r="I477" s="74"/>
      <c r="J477" s="74"/>
      <c r="K477" s="74"/>
      <c r="L477" s="74"/>
      <c r="M477" s="74"/>
      <c r="N477" s="74"/>
      <c r="O477" s="74"/>
      <c r="P477" s="74"/>
      <c r="Q477" s="74"/>
      <c r="R477" s="74"/>
      <c r="S477" s="74"/>
      <c r="T477" s="74"/>
      <c r="U477" s="74"/>
      <c r="V477" s="74"/>
      <c r="W477" s="74"/>
      <c r="X477" s="74"/>
      <c r="Y477" s="74"/>
      <c r="Z477" s="74"/>
    </row>
    <row r="478">
      <c r="A478" s="74"/>
      <c r="B478" s="73"/>
      <c r="C478" s="73"/>
      <c r="D478" s="73"/>
      <c r="E478" s="73"/>
      <c r="F478" s="74"/>
      <c r="G478" s="74"/>
      <c r="H478" s="74"/>
      <c r="I478" s="74"/>
      <c r="J478" s="74"/>
      <c r="K478" s="74"/>
      <c r="L478" s="74"/>
      <c r="M478" s="74"/>
      <c r="N478" s="74"/>
      <c r="O478" s="74"/>
      <c r="P478" s="74"/>
      <c r="Q478" s="74"/>
      <c r="R478" s="74"/>
      <c r="S478" s="74"/>
      <c r="T478" s="74"/>
      <c r="U478" s="74"/>
      <c r="V478" s="74"/>
      <c r="W478" s="74"/>
      <c r="X478" s="74"/>
      <c r="Y478" s="74"/>
      <c r="Z478" s="74"/>
    </row>
    <row r="479">
      <c r="A479" s="74"/>
      <c r="B479" s="73"/>
      <c r="C479" s="73"/>
      <c r="D479" s="73"/>
      <c r="E479" s="73"/>
      <c r="F479" s="74"/>
      <c r="G479" s="74"/>
      <c r="H479" s="74"/>
      <c r="I479" s="74"/>
      <c r="J479" s="74"/>
      <c r="K479" s="74"/>
      <c r="L479" s="74"/>
      <c r="M479" s="74"/>
      <c r="N479" s="74"/>
      <c r="O479" s="74"/>
      <c r="P479" s="74"/>
      <c r="Q479" s="74"/>
      <c r="R479" s="74"/>
      <c r="S479" s="74"/>
      <c r="T479" s="74"/>
      <c r="U479" s="74"/>
      <c r="V479" s="74"/>
      <c r="W479" s="74"/>
      <c r="X479" s="74"/>
      <c r="Y479" s="74"/>
      <c r="Z479" s="74"/>
    </row>
    <row r="480">
      <c r="A480" s="74"/>
      <c r="B480" s="73"/>
      <c r="C480" s="73"/>
      <c r="D480" s="73"/>
      <c r="E480" s="73"/>
      <c r="F480" s="74"/>
      <c r="G480" s="74"/>
      <c r="H480" s="74"/>
      <c r="I480" s="74"/>
      <c r="J480" s="74"/>
      <c r="K480" s="74"/>
      <c r="L480" s="74"/>
      <c r="M480" s="74"/>
      <c r="N480" s="74"/>
      <c r="O480" s="74"/>
      <c r="P480" s="74"/>
      <c r="Q480" s="74"/>
      <c r="R480" s="74"/>
      <c r="S480" s="74"/>
      <c r="T480" s="74"/>
      <c r="U480" s="74"/>
      <c r="V480" s="74"/>
      <c r="W480" s="74"/>
      <c r="X480" s="74"/>
      <c r="Y480" s="74"/>
      <c r="Z480" s="74"/>
    </row>
    <row r="481">
      <c r="A481" s="74"/>
      <c r="B481" s="73"/>
      <c r="C481" s="73"/>
      <c r="D481" s="73"/>
      <c r="E481" s="73"/>
      <c r="F481" s="74"/>
      <c r="G481" s="74"/>
      <c r="H481" s="74"/>
      <c r="I481" s="74"/>
      <c r="J481" s="74"/>
      <c r="K481" s="74"/>
      <c r="L481" s="74"/>
      <c r="M481" s="74"/>
      <c r="N481" s="74"/>
      <c r="O481" s="74"/>
      <c r="P481" s="74"/>
      <c r="Q481" s="74"/>
      <c r="R481" s="74"/>
      <c r="S481" s="74"/>
      <c r="T481" s="74"/>
      <c r="U481" s="74"/>
      <c r="V481" s="74"/>
      <c r="W481" s="74"/>
      <c r="X481" s="74"/>
      <c r="Y481" s="74"/>
      <c r="Z481" s="74"/>
    </row>
    <row r="482">
      <c r="A482" s="74"/>
      <c r="B482" s="73"/>
      <c r="C482" s="73"/>
      <c r="D482" s="73"/>
      <c r="E482" s="73"/>
      <c r="F482" s="74"/>
      <c r="G482" s="74"/>
      <c r="H482" s="74"/>
      <c r="I482" s="74"/>
      <c r="J482" s="74"/>
      <c r="K482" s="74"/>
      <c r="L482" s="74"/>
      <c r="M482" s="74"/>
      <c r="N482" s="74"/>
      <c r="O482" s="74"/>
      <c r="P482" s="74"/>
      <c r="Q482" s="74"/>
      <c r="R482" s="74"/>
      <c r="S482" s="74"/>
      <c r="T482" s="74"/>
      <c r="U482" s="74"/>
      <c r="V482" s="74"/>
      <c r="W482" s="74"/>
      <c r="X482" s="74"/>
      <c r="Y482" s="74"/>
      <c r="Z482" s="74"/>
    </row>
    <row r="483">
      <c r="A483" s="74"/>
      <c r="B483" s="73"/>
      <c r="C483" s="73"/>
      <c r="D483" s="73"/>
      <c r="E483" s="73"/>
      <c r="F483" s="74"/>
      <c r="G483" s="74"/>
      <c r="H483" s="74"/>
      <c r="I483" s="74"/>
      <c r="J483" s="74"/>
      <c r="K483" s="74"/>
      <c r="L483" s="74"/>
      <c r="M483" s="74"/>
      <c r="N483" s="74"/>
      <c r="O483" s="74"/>
      <c r="P483" s="74"/>
      <c r="Q483" s="74"/>
      <c r="R483" s="74"/>
      <c r="S483" s="74"/>
      <c r="T483" s="74"/>
      <c r="U483" s="74"/>
      <c r="V483" s="74"/>
      <c r="W483" s="74"/>
      <c r="X483" s="74"/>
      <c r="Y483" s="74"/>
      <c r="Z483" s="74"/>
    </row>
    <row r="484">
      <c r="A484" s="74"/>
      <c r="B484" s="73"/>
      <c r="C484" s="73"/>
      <c r="D484" s="73"/>
      <c r="E484" s="73"/>
      <c r="F484" s="74"/>
      <c r="G484" s="74"/>
      <c r="H484" s="74"/>
      <c r="I484" s="74"/>
      <c r="J484" s="74"/>
      <c r="K484" s="74"/>
      <c r="L484" s="74"/>
      <c r="M484" s="74"/>
      <c r="N484" s="74"/>
      <c r="O484" s="74"/>
      <c r="P484" s="74"/>
      <c r="Q484" s="74"/>
      <c r="R484" s="74"/>
      <c r="S484" s="74"/>
      <c r="T484" s="74"/>
      <c r="U484" s="74"/>
      <c r="V484" s="74"/>
      <c r="W484" s="74"/>
      <c r="X484" s="74"/>
      <c r="Y484" s="74"/>
      <c r="Z484" s="74"/>
    </row>
    <row r="485">
      <c r="A485" s="74"/>
      <c r="B485" s="73"/>
      <c r="C485" s="73"/>
      <c r="D485" s="73"/>
      <c r="E485" s="73"/>
      <c r="F485" s="74"/>
      <c r="G485" s="74"/>
      <c r="H485" s="74"/>
      <c r="I485" s="74"/>
      <c r="J485" s="74"/>
      <c r="K485" s="74"/>
      <c r="L485" s="74"/>
      <c r="M485" s="74"/>
      <c r="N485" s="74"/>
      <c r="O485" s="74"/>
      <c r="P485" s="74"/>
      <c r="Q485" s="74"/>
      <c r="R485" s="74"/>
      <c r="S485" s="74"/>
      <c r="T485" s="74"/>
      <c r="U485" s="74"/>
      <c r="V485" s="74"/>
      <c r="W485" s="74"/>
      <c r="X485" s="74"/>
      <c r="Y485" s="74"/>
      <c r="Z485" s="74"/>
    </row>
    <row r="486">
      <c r="A486" s="74"/>
      <c r="B486" s="73"/>
      <c r="C486" s="73"/>
      <c r="D486" s="73"/>
      <c r="E486" s="73"/>
      <c r="F486" s="74"/>
      <c r="G486" s="74"/>
      <c r="H486" s="74"/>
      <c r="I486" s="74"/>
      <c r="J486" s="74"/>
      <c r="K486" s="74"/>
      <c r="L486" s="74"/>
      <c r="M486" s="74"/>
      <c r="N486" s="74"/>
      <c r="O486" s="74"/>
      <c r="P486" s="74"/>
      <c r="Q486" s="74"/>
      <c r="R486" s="74"/>
      <c r="S486" s="74"/>
      <c r="T486" s="74"/>
      <c r="U486" s="74"/>
      <c r="V486" s="74"/>
      <c r="W486" s="74"/>
      <c r="X486" s="74"/>
      <c r="Y486" s="74"/>
      <c r="Z486" s="74"/>
    </row>
    <row r="487">
      <c r="A487" s="74"/>
      <c r="B487" s="73"/>
      <c r="C487" s="73"/>
      <c r="D487" s="73"/>
      <c r="E487" s="73"/>
      <c r="F487" s="74"/>
      <c r="G487" s="74"/>
      <c r="H487" s="74"/>
      <c r="I487" s="74"/>
      <c r="J487" s="74"/>
      <c r="K487" s="74"/>
      <c r="L487" s="74"/>
      <c r="M487" s="74"/>
      <c r="N487" s="74"/>
      <c r="O487" s="74"/>
      <c r="P487" s="74"/>
      <c r="Q487" s="74"/>
      <c r="R487" s="74"/>
      <c r="S487" s="74"/>
      <c r="T487" s="74"/>
      <c r="U487" s="74"/>
      <c r="V487" s="74"/>
      <c r="W487" s="74"/>
      <c r="X487" s="74"/>
      <c r="Y487" s="74"/>
      <c r="Z487" s="74"/>
    </row>
    <row r="488">
      <c r="A488" s="74"/>
      <c r="B488" s="73"/>
      <c r="C488" s="73"/>
      <c r="D488" s="73"/>
      <c r="E488" s="73"/>
      <c r="F488" s="74"/>
      <c r="G488" s="74"/>
      <c r="H488" s="74"/>
      <c r="I488" s="74"/>
      <c r="J488" s="74"/>
      <c r="K488" s="74"/>
      <c r="L488" s="74"/>
      <c r="M488" s="74"/>
      <c r="N488" s="74"/>
      <c r="O488" s="74"/>
      <c r="P488" s="74"/>
      <c r="Q488" s="74"/>
      <c r="R488" s="74"/>
      <c r="S488" s="74"/>
      <c r="T488" s="74"/>
      <c r="U488" s="74"/>
      <c r="V488" s="74"/>
      <c r="W488" s="74"/>
      <c r="X488" s="74"/>
      <c r="Y488" s="74"/>
      <c r="Z488" s="74"/>
    </row>
    <row r="489">
      <c r="A489" s="74"/>
      <c r="B489" s="73"/>
      <c r="C489" s="73"/>
      <c r="D489" s="73"/>
      <c r="E489" s="73"/>
      <c r="F489" s="74"/>
      <c r="G489" s="74"/>
      <c r="H489" s="74"/>
      <c r="I489" s="74"/>
      <c r="J489" s="74"/>
      <c r="K489" s="74"/>
      <c r="L489" s="74"/>
      <c r="M489" s="74"/>
      <c r="N489" s="74"/>
      <c r="O489" s="74"/>
      <c r="P489" s="74"/>
      <c r="Q489" s="74"/>
      <c r="R489" s="74"/>
      <c r="S489" s="74"/>
      <c r="T489" s="74"/>
      <c r="U489" s="74"/>
      <c r="V489" s="74"/>
      <c r="W489" s="74"/>
      <c r="X489" s="74"/>
      <c r="Y489" s="74"/>
      <c r="Z489" s="74"/>
    </row>
    <row r="490">
      <c r="A490" s="74"/>
      <c r="B490" s="73"/>
      <c r="C490" s="73"/>
      <c r="D490" s="73"/>
      <c r="E490" s="73"/>
      <c r="F490" s="74"/>
      <c r="G490" s="74"/>
      <c r="H490" s="74"/>
      <c r="I490" s="74"/>
      <c r="J490" s="74"/>
      <c r="K490" s="74"/>
      <c r="L490" s="74"/>
      <c r="M490" s="74"/>
      <c r="N490" s="74"/>
      <c r="O490" s="74"/>
      <c r="P490" s="74"/>
      <c r="Q490" s="74"/>
      <c r="R490" s="74"/>
      <c r="S490" s="74"/>
      <c r="T490" s="74"/>
      <c r="U490" s="74"/>
      <c r="V490" s="74"/>
      <c r="W490" s="74"/>
      <c r="X490" s="74"/>
      <c r="Y490" s="74"/>
      <c r="Z490" s="74"/>
    </row>
    <row r="491">
      <c r="A491" s="74"/>
      <c r="B491" s="73"/>
      <c r="C491" s="73"/>
      <c r="D491" s="73"/>
      <c r="E491" s="73"/>
      <c r="F491" s="74"/>
      <c r="G491" s="74"/>
      <c r="H491" s="74"/>
      <c r="I491" s="74"/>
      <c r="J491" s="74"/>
      <c r="K491" s="74"/>
      <c r="L491" s="74"/>
      <c r="M491" s="74"/>
      <c r="N491" s="74"/>
      <c r="O491" s="74"/>
      <c r="P491" s="74"/>
      <c r="Q491" s="74"/>
      <c r="R491" s="74"/>
      <c r="S491" s="74"/>
      <c r="T491" s="74"/>
      <c r="U491" s="74"/>
      <c r="V491" s="74"/>
      <c r="W491" s="74"/>
      <c r="X491" s="74"/>
      <c r="Y491" s="74"/>
      <c r="Z491" s="74"/>
    </row>
    <row r="492">
      <c r="A492" s="74"/>
      <c r="B492" s="73"/>
      <c r="C492" s="73"/>
      <c r="D492" s="73"/>
      <c r="E492" s="73"/>
      <c r="F492" s="74"/>
      <c r="G492" s="74"/>
      <c r="H492" s="74"/>
      <c r="I492" s="74"/>
      <c r="J492" s="74"/>
      <c r="K492" s="74"/>
      <c r="L492" s="74"/>
      <c r="M492" s="74"/>
      <c r="N492" s="74"/>
      <c r="O492" s="74"/>
      <c r="P492" s="74"/>
      <c r="Q492" s="74"/>
      <c r="R492" s="74"/>
      <c r="S492" s="74"/>
      <c r="T492" s="74"/>
      <c r="U492" s="74"/>
      <c r="V492" s="74"/>
      <c r="W492" s="74"/>
      <c r="X492" s="74"/>
      <c r="Y492" s="74"/>
      <c r="Z492" s="74"/>
    </row>
    <row r="493">
      <c r="A493" s="74"/>
      <c r="B493" s="73"/>
      <c r="C493" s="73"/>
      <c r="D493" s="73"/>
      <c r="E493" s="73"/>
      <c r="F493" s="74"/>
      <c r="G493" s="74"/>
      <c r="H493" s="74"/>
      <c r="I493" s="74"/>
      <c r="J493" s="74"/>
      <c r="K493" s="74"/>
      <c r="L493" s="74"/>
      <c r="M493" s="74"/>
      <c r="N493" s="74"/>
      <c r="O493" s="74"/>
      <c r="P493" s="74"/>
      <c r="Q493" s="74"/>
      <c r="R493" s="74"/>
      <c r="S493" s="74"/>
      <c r="T493" s="74"/>
      <c r="U493" s="74"/>
      <c r="V493" s="74"/>
      <c r="W493" s="74"/>
      <c r="X493" s="74"/>
      <c r="Y493" s="74"/>
      <c r="Z493" s="74"/>
    </row>
    <row r="494">
      <c r="A494" s="74"/>
      <c r="B494" s="73"/>
      <c r="C494" s="73"/>
      <c r="D494" s="73"/>
      <c r="E494" s="73"/>
      <c r="F494" s="74"/>
      <c r="G494" s="74"/>
      <c r="H494" s="74"/>
      <c r="I494" s="74"/>
      <c r="J494" s="74"/>
      <c r="K494" s="74"/>
      <c r="L494" s="74"/>
      <c r="M494" s="74"/>
      <c r="N494" s="74"/>
      <c r="O494" s="74"/>
      <c r="P494" s="74"/>
      <c r="Q494" s="74"/>
      <c r="R494" s="74"/>
      <c r="S494" s="74"/>
      <c r="T494" s="74"/>
      <c r="U494" s="74"/>
      <c r="V494" s="74"/>
      <c r="W494" s="74"/>
      <c r="X494" s="74"/>
      <c r="Y494" s="74"/>
      <c r="Z494" s="74"/>
    </row>
    <row r="495">
      <c r="A495" s="74"/>
      <c r="B495" s="73"/>
      <c r="C495" s="73"/>
      <c r="D495" s="73"/>
      <c r="E495" s="73"/>
      <c r="F495" s="74"/>
      <c r="G495" s="74"/>
      <c r="H495" s="74"/>
      <c r="I495" s="74"/>
      <c r="J495" s="74"/>
      <c r="K495" s="74"/>
      <c r="L495" s="74"/>
      <c r="M495" s="74"/>
      <c r="N495" s="74"/>
      <c r="O495" s="74"/>
      <c r="P495" s="74"/>
      <c r="Q495" s="74"/>
      <c r="R495" s="74"/>
      <c r="S495" s="74"/>
      <c r="T495" s="74"/>
      <c r="U495" s="74"/>
      <c r="V495" s="74"/>
      <c r="W495" s="74"/>
      <c r="X495" s="74"/>
      <c r="Y495" s="74"/>
      <c r="Z495" s="74"/>
    </row>
    <row r="496">
      <c r="A496" s="74"/>
      <c r="B496" s="73"/>
      <c r="C496" s="73"/>
      <c r="D496" s="73"/>
      <c r="E496" s="73"/>
      <c r="F496" s="74"/>
      <c r="G496" s="74"/>
      <c r="H496" s="74"/>
      <c r="I496" s="74"/>
      <c r="J496" s="74"/>
      <c r="K496" s="74"/>
      <c r="L496" s="74"/>
      <c r="M496" s="74"/>
      <c r="N496" s="74"/>
      <c r="O496" s="74"/>
      <c r="P496" s="74"/>
      <c r="Q496" s="74"/>
      <c r="R496" s="74"/>
      <c r="S496" s="74"/>
      <c r="T496" s="74"/>
      <c r="U496" s="74"/>
      <c r="V496" s="74"/>
      <c r="W496" s="74"/>
      <c r="X496" s="74"/>
      <c r="Y496" s="74"/>
      <c r="Z496" s="74"/>
    </row>
    <row r="497">
      <c r="A497" s="74"/>
      <c r="B497" s="73"/>
      <c r="C497" s="73"/>
      <c r="D497" s="73"/>
      <c r="E497" s="73"/>
      <c r="F497" s="74"/>
      <c r="G497" s="74"/>
      <c r="H497" s="74"/>
      <c r="I497" s="74"/>
      <c r="J497" s="74"/>
      <c r="K497" s="74"/>
      <c r="L497" s="74"/>
      <c r="M497" s="74"/>
      <c r="N497" s="74"/>
      <c r="O497" s="74"/>
      <c r="P497" s="74"/>
      <c r="Q497" s="74"/>
      <c r="R497" s="74"/>
      <c r="S497" s="74"/>
      <c r="T497" s="74"/>
      <c r="U497" s="74"/>
      <c r="V497" s="74"/>
      <c r="W497" s="74"/>
      <c r="X497" s="74"/>
      <c r="Y497" s="74"/>
      <c r="Z497" s="74"/>
    </row>
    <row r="498">
      <c r="A498" s="74"/>
      <c r="B498" s="73"/>
      <c r="C498" s="73"/>
      <c r="D498" s="73"/>
      <c r="E498" s="73"/>
      <c r="F498" s="74"/>
      <c r="G498" s="74"/>
      <c r="H498" s="74"/>
      <c r="I498" s="74"/>
      <c r="J498" s="74"/>
      <c r="K498" s="74"/>
      <c r="L498" s="74"/>
      <c r="M498" s="74"/>
      <c r="N498" s="74"/>
      <c r="O498" s="74"/>
      <c r="P498" s="74"/>
      <c r="Q498" s="74"/>
      <c r="R498" s="74"/>
      <c r="S498" s="74"/>
      <c r="T498" s="74"/>
      <c r="U498" s="74"/>
      <c r="V498" s="74"/>
      <c r="W498" s="74"/>
      <c r="X498" s="74"/>
      <c r="Y498" s="74"/>
      <c r="Z498" s="74"/>
    </row>
    <row r="499">
      <c r="A499" s="74"/>
      <c r="B499" s="73"/>
      <c r="C499" s="73"/>
      <c r="D499" s="73"/>
      <c r="E499" s="73"/>
      <c r="F499" s="74"/>
      <c r="G499" s="74"/>
      <c r="H499" s="74"/>
      <c r="I499" s="74"/>
      <c r="J499" s="74"/>
      <c r="K499" s="74"/>
      <c r="L499" s="74"/>
      <c r="M499" s="74"/>
      <c r="N499" s="74"/>
      <c r="O499" s="74"/>
      <c r="P499" s="74"/>
      <c r="Q499" s="74"/>
      <c r="R499" s="74"/>
      <c r="S499" s="74"/>
      <c r="T499" s="74"/>
      <c r="U499" s="74"/>
      <c r="V499" s="74"/>
      <c r="W499" s="74"/>
      <c r="X499" s="74"/>
      <c r="Y499" s="74"/>
      <c r="Z499" s="74"/>
    </row>
    <row r="500">
      <c r="A500" s="74"/>
      <c r="B500" s="73"/>
      <c r="C500" s="73"/>
      <c r="D500" s="73"/>
      <c r="E500" s="73"/>
      <c r="F500" s="74"/>
      <c r="G500" s="74"/>
      <c r="H500" s="74"/>
      <c r="I500" s="74"/>
      <c r="J500" s="74"/>
      <c r="K500" s="74"/>
      <c r="L500" s="74"/>
      <c r="M500" s="74"/>
      <c r="N500" s="74"/>
      <c r="O500" s="74"/>
      <c r="P500" s="74"/>
      <c r="Q500" s="74"/>
      <c r="R500" s="74"/>
      <c r="S500" s="74"/>
      <c r="T500" s="74"/>
      <c r="U500" s="74"/>
      <c r="V500" s="74"/>
      <c r="W500" s="74"/>
      <c r="X500" s="74"/>
      <c r="Y500" s="74"/>
      <c r="Z500" s="74"/>
    </row>
    <row r="501">
      <c r="A501" s="74"/>
      <c r="B501" s="73"/>
      <c r="C501" s="73"/>
      <c r="D501" s="73"/>
      <c r="E501" s="73"/>
      <c r="F501" s="74"/>
      <c r="G501" s="74"/>
      <c r="H501" s="74"/>
      <c r="I501" s="74"/>
      <c r="J501" s="74"/>
      <c r="K501" s="74"/>
      <c r="L501" s="74"/>
      <c r="M501" s="74"/>
      <c r="N501" s="74"/>
      <c r="O501" s="74"/>
      <c r="P501" s="74"/>
      <c r="Q501" s="74"/>
      <c r="R501" s="74"/>
      <c r="S501" s="74"/>
      <c r="T501" s="74"/>
      <c r="U501" s="74"/>
      <c r="V501" s="74"/>
      <c r="W501" s="74"/>
      <c r="X501" s="74"/>
      <c r="Y501" s="74"/>
      <c r="Z501" s="74"/>
    </row>
    <row r="502">
      <c r="A502" s="74"/>
      <c r="B502" s="73"/>
      <c r="C502" s="73"/>
      <c r="D502" s="73"/>
      <c r="E502" s="73"/>
      <c r="F502" s="74"/>
      <c r="G502" s="74"/>
      <c r="H502" s="74"/>
      <c r="I502" s="74"/>
      <c r="J502" s="74"/>
      <c r="K502" s="74"/>
      <c r="L502" s="74"/>
      <c r="M502" s="74"/>
      <c r="N502" s="74"/>
      <c r="O502" s="74"/>
      <c r="P502" s="74"/>
      <c r="Q502" s="74"/>
      <c r="R502" s="74"/>
      <c r="S502" s="74"/>
      <c r="T502" s="74"/>
      <c r="U502" s="74"/>
      <c r="V502" s="74"/>
      <c r="W502" s="74"/>
      <c r="X502" s="74"/>
      <c r="Y502" s="74"/>
      <c r="Z502" s="74"/>
    </row>
    <row r="503">
      <c r="A503" s="74"/>
      <c r="B503" s="73"/>
      <c r="C503" s="73"/>
      <c r="D503" s="73"/>
      <c r="E503" s="73"/>
      <c r="F503" s="74"/>
      <c r="G503" s="74"/>
      <c r="H503" s="74"/>
      <c r="I503" s="74"/>
      <c r="J503" s="74"/>
      <c r="K503" s="74"/>
      <c r="L503" s="74"/>
      <c r="M503" s="74"/>
      <c r="N503" s="74"/>
      <c r="O503" s="74"/>
      <c r="P503" s="74"/>
      <c r="Q503" s="74"/>
      <c r="R503" s="74"/>
      <c r="S503" s="74"/>
      <c r="T503" s="74"/>
      <c r="U503" s="74"/>
      <c r="V503" s="74"/>
      <c r="W503" s="74"/>
      <c r="X503" s="74"/>
      <c r="Y503" s="74"/>
      <c r="Z503" s="74"/>
    </row>
    <row r="504">
      <c r="A504" s="74"/>
      <c r="B504" s="73"/>
      <c r="C504" s="73"/>
      <c r="D504" s="73"/>
      <c r="E504" s="73"/>
      <c r="F504" s="74"/>
      <c r="G504" s="74"/>
      <c r="H504" s="74"/>
      <c r="I504" s="74"/>
      <c r="J504" s="74"/>
      <c r="K504" s="74"/>
      <c r="L504" s="74"/>
      <c r="M504" s="74"/>
      <c r="N504" s="74"/>
      <c r="O504" s="74"/>
      <c r="P504" s="74"/>
      <c r="Q504" s="74"/>
      <c r="R504" s="74"/>
      <c r="S504" s="74"/>
      <c r="T504" s="74"/>
      <c r="U504" s="74"/>
      <c r="V504" s="74"/>
      <c r="W504" s="74"/>
      <c r="X504" s="74"/>
      <c r="Y504" s="74"/>
      <c r="Z504" s="74"/>
    </row>
    <row r="505">
      <c r="A505" s="74"/>
      <c r="B505" s="73"/>
      <c r="C505" s="73"/>
      <c r="D505" s="73"/>
      <c r="E505" s="73"/>
      <c r="F505" s="74"/>
      <c r="G505" s="74"/>
      <c r="H505" s="74"/>
      <c r="I505" s="74"/>
      <c r="J505" s="74"/>
      <c r="K505" s="74"/>
      <c r="L505" s="74"/>
      <c r="M505" s="74"/>
      <c r="N505" s="74"/>
      <c r="O505" s="74"/>
      <c r="P505" s="74"/>
      <c r="Q505" s="74"/>
      <c r="R505" s="74"/>
      <c r="S505" s="74"/>
      <c r="T505" s="74"/>
      <c r="U505" s="74"/>
      <c r="V505" s="74"/>
      <c r="W505" s="74"/>
      <c r="X505" s="74"/>
      <c r="Y505" s="74"/>
      <c r="Z505" s="74"/>
    </row>
    <row r="506">
      <c r="A506" s="74"/>
      <c r="B506" s="73"/>
      <c r="C506" s="73"/>
      <c r="D506" s="73"/>
      <c r="E506" s="73"/>
      <c r="F506" s="74"/>
      <c r="G506" s="74"/>
      <c r="H506" s="74"/>
      <c r="I506" s="74"/>
      <c r="J506" s="74"/>
      <c r="K506" s="74"/>
      <c r="L506" s="74"/>
      <c r="M506" s="74"/>
      <c r="N506" s="74"/>
      <c r="O506" s="74"/>
      <c r="P506" s="74"/>
      <c r="Q506" s="74"/>
      <c r="R506" s="74"/>
      <c r="S506" s="74"/>
      <c r="T506" s="74"/>
      <c r="U506" s="74"/>
      <c r="V506" s="74"/>
      <c r="W506" s="74"/>
      <c r="X506" s="74"/>
      <c r="Y506" s="74"/>
      <c r="Z506" s="74"/>
    </row>
    <row r="507">
      <c r="A507" s="74"/>
      <c r="B507" s="73"/>
      <c r="C507" s="73"/>
      <c r="D507" s="73"/>
      <c r="E507" s="73"/>
      <c r="F507" s="74"/>
      <c r="G507" s="74"/>
      <c r="H507" s="74"/>
      <c r="I507" s="74"/>
      <c r="J507" s="74"/>
      <c r="K507" s="74"/>
      <c r="L507" s="74"/>
      <c r="M507" s="74"/>
      <c r="N507" s="74"/>
      <c r="O507" s="74"/>
      <c r="P507" s="74"/>
      <c r="Q507" s="74"/>
      <c r="R507" s="74"/>
      <c r="S507" s="74"/>
      <c r="T507" s="74"/>
      <c r="U507" s="74"/>
      <c r="V507" s="74"/>
      <c r="W507" s="74"/>
      <c r="X507" s="74"/>
      <c r="Y507" s="74"/>
      <c r="Z507" s="74"/>
    </row>
    <row r="508">
      <c r="A508" s="74"/>
      <c r="B508" s="73"/>
      <c r="C508" s="73"/>
      <c r="D508" s="73"/>
      <c r="E508" s="73"/>
      <c r="F508" s="74"/>
      <c r="G508" s="74"/>
      <c r="H508" s="74"/>
      <c r="I508" s="74"/>
      <c r="J508" s="74"/>
      <c r="K508" s="74"/>
      <c r="L508" s="74"/>
      <c r="M508" s="74"/>
      <c r="N508" s="74"/>
      <c r="O508" s="74"/>
      <c r="P508" s="74"/>
      <c r="Q508" s="74"/>
      <c r="R508" s="74"/>
      <c r="S508" s="74"/>
      <c r="T508" s="74"/>
      <c r="U508" s="74"/>
      <c r="V508" s="74"/>
      <c r="W508" s="74"/>
      <c r="X508" s="74"/>
      <c r="Y508" s="74"/>
      <c r="Z508" s="74"/>
    </row>
    <row r="509">
      <c r="A509" s="74"/>
      <c r="B509" s="73"/>
      <c r="C509" s="73"/>
      <c r="D509" s="73"/>
      <c r="E509" s="73"/>
      <c r="F509" s="74"/>
      <c r="G509" s="74"/>
      <c r="H509" s="74"/>
      <c r="I509" s="74"/>
      <c r="J509" s="74"/>
      <c r="K509" s="74"/>
      <c r="L509" s="74"/>
      <c r="M509" s="74"/>
      <c r="N509" s="74"/>
      <c r="O509" s="74"/>
      <c r="P509" s="74"/>
      <c r="Q509" s="74"/>
      <c r="R509" s="74"/>
      <c r="S509" s="74"/>
      <c r="T509" s="74"/>
      <c r="U509" s="74"/>
      <c r="V509" s="74"/>
      <c r="W509" s="74"/>
      <c r="X509" s="74"/>
      <c r="Y509" s="74"/>
      <c r="Z509" s="74"/>
    </row>
    <row r="510">
      <c r="A510" s="74"/>
      <c r="B510" s="73"/>
      <c r="C510" s="73"/>
      <c r="D510" s="73"/>
      <c r="E510" s="73"/>
      <c r="F510" s="74"/>
      <c r="G510" s="74"/>
      <c r="H510" s="74"/>
      <c r="I510" s="74"/>
      <c r="J510" s="74"/>
      <c r="K510" s="74"/>
      <c r="L510" s="74"/>
      <c r="M510" s="74"/>
      <c r="N510" s="74"/>
      <c r="O510" s="74"/>
      <c r="P510" s="74"/>
      <c r="Q510" s="74"/>
      <c r="R510" s="74"/>
      <c r="S510" s="74"/>
      <c r="T510" s="74"/>
      <c r="U510" s="74"/>
      <c r="V510" s="74"/>
      <c r="W510" s="74"/>
      <c r="X510" s="74"/>
      <c r="Y510" s="74"/>
      <c r="Z510" s="74"/>
    </row>
    <row r="511">
      <c r="A511" s="74"/>
      <c r="B511" s="73"/>
      <c r="C511" s="73"/>
      <c r="D511" s="73"/>
      <c r="E511" s="73"/>
      <c r="F511" s="74"/>
      <c r="G511" s="74"/>
      <c r="H511" s="74"/>
      <c r="I511" s="74"/>
      <c r="J511" s="74"/>
      <c r="K511" s="74"/>
      <c r="L511" s="74"/>
      <c r="M511" s="74"/>
      <c r="N511" s="74"/>
      <c r="O511" s="74"/>
      <c r="P511" s="74"/>
      <c r="Q511" s="74"/>
      <c r="R511" s="74"/>
      <c r="S511" s="74"/>
      <c r="T511" s="74"/>
      <c r="U511" s="74"/>
      <c r="V511" s="74"/>
      <c r="W511" s="74"/>
      <c r="X511" s="74"/>
      <c r="Y511" s="74"/>
      <c r="Z511" s="74"/>
    </row>
    <row r="512">
      <c r="A512" s="74"/>
      <c r="B512" s="73"/>
      <c r="C512" s="73"/>
      <c r="D512" s="73"/>
      <c r="E512" s="73"/>
      <c r="F512" s="74"/>
      <c r="G512" s="74"/>
      <c r="H512" s="74"/>
      <c r="I512" s="74"/>
      <c r="J512" s="74"/>
      <c r="K512" s="74"/>
      <c r="L512" s="74"/>
      <c r="M512" s="74"/>
      <c r="N512" s="74"/>
      <c r="O512" s="74"/>
      <c r="P512" s="74"/>
      <c r="Q512" s="74"/>
      <c r="R512" s="74"/>
      <c r="S512" s="74"/>
      <c r="T512" s="74"/>
      <c r="U512" s="74"/>
      <c r="V512" s="74"/>
      <c r="W512" s="74"/>
      <c r="X512" s="74"/>
      <c r="Y512" s="74"/>
      <c r="Z512" s="74"/>
    </row>
    <row r="513">
      <c r="A513" s="74"/>
      <c r="B513" s="73"/>
      <c r="C513" s="73"/>
      <c r="D513" s="73"/>
      <c r="E513" s="73"/>
      <c r="F513" s="74"/>
      <c r="G513" s="74"/>
      <c r="H513" s="74"/>
      <c r="I513" s="74"/>
      <c r="J513" s="74"/>
      <c r="K513" s="74"/>
      <c r="L513" s="74"/>
      <c r="M513" s="74"/>
      <c r="N513" s="74"/>
      <c r="O513" s="74"/>
      <c r="P513" s="74"/>
      <c r="Q513" s="74"/>
      <c r="R513" s="74"/>
      <c r="S513" s="74"/>
      <c r="T513" s="74"/>
      <c r="U513" s="74"/>
      <c r="V513" s="74"/>
      <c r="W513" s="74"/>
      <c r="X513" s="74"/>
      <c r="Y513" s="74"/>
      <c r="Z513" s="74"/>
    </row>
    <row r="514">
      <c r="A514" s="74"/>
      <c r="B514" s="73"/>
      <c r="C514" s="73"/>
      <c r="D514" s="73"/>
      <c r="E514" s="73"/>
      <c r="F514" s="74"/>
      <c r="G514" s="74"/>
      <c r="H514" s="74"/>
      <c r="I514" s="74"/>
      <c r="J514" s="74"/>
      <c r="K514" s="74"/>
      <c r="L514" s="74"/>
      <c r="M514" s="74"/>
      <c r="N514" s="74"/>
      <c r="O514" s="74"/>
      <c r="P514" s="74"/>
      <c r="Q514" s="74"/>
      <c r="R514" s="74"/>
      <c r="S514" s="74"/>
      <c r="T514" s="74"/>
      <c r="U514" s="74"/>
      <c r="V514" s="74"/>
      <c r="W514" s="74"/>
      <c r="X514" s="74"/>
      <c r="Y514" s="74"/>
      <c r="Z514" s="74"/>
    </row>
    <row r="515">
      <c r="A515" s="74"/>
      <c r="B515" s="73"/>
      <c r="C515" s="73"/>
      <c r="D515" s="73"/>
      <c r="E515" s="73"/>
      <c r="F515" s="74"/>
      <c r="G515" s="74"/>
      <c r="H515" s="74"/>
      <c r="I515" s="74"/>
      <c r="J515" s="74"/>
      <c r="K515" s="74"/>
      <c r="L515" s="74"/>
      <c r="M515" s="74"/>
      <c r="N515" s="74"/>
      <c r="O515" s="74"/>
      <c r="P515" s="74"/>
      <c r="Q515" s="74"/>
      <c r="R515" s="74"/>
      <c r="S515" s="74"/>
      <c r="T515" s="74"/>
      <c r="U515" s="74"/>
      <c r="V515" s="74"/>
      <c r="W515" s="74"/>
      <c r="X515" s="74"/>
      <c r="Y515" s="74"/>
      <c r="Z515" s="74"/>
    </row>
    <row r="516">
      <c r="A516" s="74"/>
      <c r="B516" s="73"/>
      <c r="C516" s="73"/>
      <c r="D516" s="73"/>
      <c r="E516" s="73"/>
      <c r="F516" s="74"/>
      <c r="G516" s="74"/>
      <c r="H516" s="74"/>
      <c r="I516" s="74"/>
      <c r="J516" s="74"/>
      <c r="K516" s="74"/>
      <c r="L516" s="74"/>
      <c r="M516" s="74"/>
      <c r="N516" s="74"/>
      <c r="O516" s="74"/>
      <c r="P516" s="74"/>
      <c r="Q516" s="74"/>
      <c r="R516" s="74"/>
      <c r="S516" s="74"/>
      <c r="T516" s="74"/>
      <c r="U516" s="74"/>
      <c r="V516" s="74"/>
      <c r="W516" s="74"/>
      <c r="X516" s="74"/>
      <c r="Y516" s="74"/>
      <c r="Z516" s="74"/>
    </row>
    <row r="517">
      <c r="A517" s="74"/>
      <c r="B517" s="73"/>
      <c r="C517" s="73"/>
      <c r="D517" s="73"/>
      <c r="E517" s="73"/>
      <c r="F517" s="74"/>
      <c r="G517" s="74"/>
      <c r="H517" s="74"/>
      <c r="I517" s="74"/>
      <c r="J517" s="74"/>
      <c r="K517" s="74"/>
      <c r="L517" s="74"/>
      <c r="M517" s="74"/>
      <c r="N517" s="74"/>
      <c r="O517" s="74"/>
      <c r="P517" s="74"/>
      <c r="Q517" s="74"/>
      <c r="R517" s="74"/>
      <c r="S517" s="74"/>
      <c r="T517" s="74"/>
      <c r="U517" s="74"/>
      <c r="V517" s="74"/>
      <c r="W517" s="74"/>
      <c r="X517" s="74"/>
      <c r="Y517" s="74"/>
      <c r="Z517" s="74"/>
    </row>
    <row r="518">
      <c r="A518" s="74"/>
      <c r="B518" s="73"/>
      <c r="C518" s="73"/>
      <c r="D518" s="73"/>
      <c r="E518" s="73"/>
      <c r="F518" s="74"/>
      <c r="G518" s="74"/>
      <c r="H518" s="74"/>
      <c r="I518" s="74"/>
      <c r="J518" s="74"/>
      <c r="K518" s="74"/>
      <c r="L518" s="74"/>
      <c r="M518" s="74"/>
      <c r="N518" s="74"/>
      <c r="O518" s="74"/>
      <c r="P518" s="74"/>
      <c r="Q518" s="74"/>
      <c r="R518" s="74"/>
      <c r="S518" s="74"/>
      <c r="T518" s="74"/>
      <c r="U518" s="74"/>
      <c r="V518" s="74"/>
      <c r="W518" s="74"/>
      <c r="X518" s="74"/>
      <c r="Y518" s="74"/>
      <c r="Z518" s="74"/>
    </row>
    <row r="519">
      <c r="A519" s="74"/>
      <c r="B519" s="73"/>
      <c r="C519" s="73"/>
      <c r="D519" s="73"/>
      <c r="E519" s="73"/>
      <c r="F519" s="74"/>
      <c r="G519" s="74"/>
      <c r="H519" s="74"/>
      <c r="I519" s="74"/>
      <c r="J519" s="74"/>
      <c r="K519" s="74"/>
      <c r="L519" s="74"/>
      <c r="M519" s="74"/>
      <c r="N519" s="74"/>
      <c r="O519" s="74"/>
      <c r="P519" s="74"/>
      <c r="Q519" s="74"/>
      <c r="R519" s="74"/>
      <c r="S519" s="74"/>
      <c r="T519" s="74"/>
      <c r="U519" s="74"/>
      <c r="V519" s="74"/>
      <c r="W519" s="74"/>
      <c r="X519" s="74"/>
      <c r="Y519" s="74"/>
      <c r="Z519" s="74"/>
    </row>
    <row r="520">
      <c r="A520" s="74"/>
      <c r="B520" s="73"/>
      <c r="C520" s="73"/>
      <c r="D520" s="73"/>
      <c r="E520" s="73"/>
      <c r="F520" s="74"/>
      <c r="G520" s="74"/>
      <c r="H520" s="74"/>
      <c r="I520" s="74"/>
      <c r="J520" s="74"/>
      <c r="K520" s="74"/>
      <c r="L520" s="74"/>
      <c r="M520" s="74"/>
      <c r="N520" s="74"/>
      <c r="O520" s="74"/>
      <c r="P520" s="74"/>
      <c r="Q520" s="74"/>
      <c r="R520" s="74"/>
      <c r="S520" s="74"/>
      <c r="T520" s="74"/>
      <c r="U520" s="74"/>
      <c r="V520" s="74"/>
      <c r="W520" s="74"/>
      <c r="X520" s="74"/>
      <c r="Y520" s="74"/>
      <c r="Z520" s="74"/>
    </row>
    <row r="521">
      <c r="A521" s="74"/>
      <c r="B521" s="73"/>
      <c r="C521" s="73"/>
      <c r="D521" s="73"/>
      <c r="E521" s="73"/>
      <c r="F521" s="74"/>
      <c r="G521" s="74"/>
      <c r="H521" s="74"/>
      <c r="I521" s="74"/>
      <c r="J521" s="74"/>
      <c r="K521" s="74"/>
      <c r="L521" s="74"/>
      <c r="M521" s="74"/>
      <c r="N521" s="74"/>
      <c r="O521" s="74"/>
      <c r="P521" s="74"/>
      <c r="Q521" s="74"/>
      <c r="R521" s="74"/>
      <c r="S521" s="74"/>
      <c r="T521" s="74"/>
      <c r="U521" s="74"/>
      <c r="V521" s="74"/>
      <c r="W521" s="74"/>
      <c r="X521" s="74"/>
      <c r="Y521" s="74"/>
      <c r="Z521" s="74"/>
    </row>
    <row r="522">
      <c r="A522" s="74"/>
      <c r="B522" s="73"/>
      <c r="C522" s="73"/>
      <c r="D522" s="73"/>
      <c r="E522" s="73"/>
      <c r="F522" s="74"/>
      <c r="G522" s="74"/>
      <c r="H522" s="74"/>
      <c r="I522" s="74"/>
      <c r="J522" s="74"/>
      <c r="K522" s="74"/>
      <c r="L522" s="74"/>
      <c r="M522" s="74"/>
      <c r="N522" s="74"/>
      <c r="O522" s="74"/>
      <c r="P522" s="74"/>
      <c r="Q522" s="74"/>
      <c r="R522" s="74"/>
      <c r="S522" s="74"/>
      <c r="T522" s="74"/>
      <c r="U522" s="74"/>
      <c r="V522" s="74"/>
      <c r="W522" s="74"/>
      <c r="X522" s="74"/>
      <c r="Y522" s="74"/>
      <c r="Z522" s="74"/>
    </row>
    <row r="523">
      <c r="A523" s="74"/>
      <c r="B523" s="73"/>
      <c r="C523" s="73"/>
      <c r="D523" s="73"/>
      <c r="E523" s="73"/>
      <c r="F523" s="74"/>
      <c r="G523" s="74"/>
      <c r="H523" s="74"/>
      <c r="I523" s="74"/>
      <c r="J523" s="74"/>
      <c r="K523" s="74"/>
      <c r="L523" s="74"/>
      <c r="M523" s="74"/>
      <c r="N523" s="74"/>
      <c r="O523" s="74"/>
      <c r="P523" s="74"/>
      <c r="Q523" s="74"/>
      <c r="R523" s="74"/>
      <c r="S523" s="74"/>
      <c r="T523" s="74"/>
      <c r="U523" s="74"/>
      <c r="V523" s="74"/>
      <c r="W523" s="74"/>
      <c r="X523" s="74"/>
      <c r="Y523" s="74"/>
      <c r="Z523" s="74"/>
    </row>
    <row r="524">
      <c r="A524" s="74"/>
      <c r="B524" s="73"/>
      <c r="C524" s="73"/>
      <c r="D524" s="73"/>
      <c r="E524" s="73"/>
      <c r="F524" s="74"/>
      <c r="G524" s="74"/>
      <c r="H524" s="74"/>
      <c r="I524" s="74"/>
      <c r="J524" s="74"/>
      <c r="K524" s="74"/>
      <c r="L524" s="74"/>
      <c r="M524" s="74"/>
      <c r="N524" s="74"/>
      <c r="O524" s="74"/>
      <c r="P524" s="74"/>
      <c r="Q524" s="74"/>
      <c r="R524" s="74"/>
      <c r="S524" s="74"/>
      <c r="T524" s="74"/>
      <c r="U524" s="74"/>
      <c r="V524" s="74"/>
      <c r="W524" s="74"/>
      <c r="X524" s="74"/>
      <c r="Y524" s="74"/>
      <c r="Z524" s="74"/>
    </row>
    <row r="525">
      <c r="A525" s="74"/>
      <c r="B525" s="73"/>
      <c r="C525" s="73"/>
      <c r="D525" s="73"/>
      <c r="E525" s="73"/>
      <c r="F525" s="74"/>
      <c r="G525" s="74"/>
      <c r="H525" s="74"/>
      <c r="I525" s="74"/>
      <c r="J525" s="74"/>
      <c r="K525" s="74"/>
      <c r="L525" s="74"/>
      <c r="M525" s="74"/>
      <c r="N525" s="74"/>
      <c r="O525" s="74"/>
      <c r="P525" s="74"/>
      <c r="Q525" s="74"/>
      <c r="R525" s="74"/>
      <c r="S525" s="74"/>
      <c r="T525" s="74"/>
      <c r="U525" s="74"/>
      <c r="V525" s="74"/>
      <c r="W525" s="74"/>
      <c r="X525" s="74"/>
      <c r="Y525" s="74"/>
      <c r="Z525" s="74"/>
    </row>
    <row r="526">
      <c r="A526" s="74"/>
      <c r="B526" s="73"/>
      <c r="C526" s="73"/>
      <c r="D526" s="73"/>
      <c r="E526" s="73"/>
      <c r="F526" s="74"/>
      <c r="G526" s="74"/>
      <c r="H526" s="74"/>
      <c r="I526" s="74"/>
      <c r="J526" s="74"/>
      <c r="K526" s="74"/>
      <c r="L526" s="74"/>
      <c r="M526" s="74"/>
      <c r="N526" s="74"/>
      <c r="O526" s="74"/>
      <c r="P526" s="74"/>
      <c r="Q526" s="74"/>
      <c r="R526" s="74"/>
      <c r="S526" s="74"/>
      <c r="T526" s="74"/>
      <c r="U526" s="74"/>
      <c r="V526" s="74"/>
      <c r="W526" s="74"/>
      <c r="X526" s="74"/>
      <c r="Y526" s="74"/>
      <c r="Z526" s="74"/>
    </row>
    <row r="527">
      <c r="A527" s="74"/>
      <c r="B527" s="73"/>
      <c r="C527" s="73"/>
      <c r="D527" s="73"/>
      <c r="E527" s="73"/>
      <c r="F527" s="74"/>
      <c r="G527" s="74"/>
      <c r="H527" s="74"/>
      <c r="I527" s="74"/>
      <c r="J527" s="74"/>
      <c r="K527" s="74"/>
      <c r="L527" s="74"/>
      <c r="M527" s="74"/>
      <c r="N527" s="74"/>
      <c r="O527" s="74"/>
      <c r="P527" s="74"/>
      <c r="Q527" s="74"/>
      <c r="R527" s="74"/>
      <c r="S527" s="74"/>
      <c r="T527" s="74"/>
      <c r="U527" s="74"/>
      <c r="V527" s="74"/>
      <c r="W527" s="74"/>
      <c r="X527" s="74"/>
      <c r="Y527" s="74"/>
      <c r="Z527" s="74"/>
    </row>
    <row r="528">
      <c r="A528" s="74"/>
      <c r="B528" s="73"/>
      <c r="C528" s="73"/>
      <c r="D528" s="73"/>
      <c r="E528" s="73"/>
      <c r="F528" s="74"/>
      <c r="G528" s="74"/>
      <c r="H528" s="74"/>
      <c r="I528" s="74"/>
      <c r="J528" s="74"/>
      <c r="K528" s="74"/>
      <c r="L528" s="74"/>
      <c r="M528" s="74"/>
      <c r="N528" s="74"/>
      <c r="O528" s="74"/>
      <c r="P528" s="74"/>
      <c r="Q528" s="74"/>
      <c r="R528" s="74"/>
      <c r="S528" s="74"/>
      <c r="T528" s="74"/>
      <c r="U528" s="74"/>
      <c r="V528" s="74"/>
      <c r="W528" s="74"/>
      <c r="X528" s="74"/>
      <c r="Y528" s="74"/>
      <c r="Z528" s="74"/>
    </row>
    <row r="529">
      <c r="A529" s="74"/>
      <c r="B529" s="73"/>
      <c r="C529" s="73"/>
      <c r="D529" s="73"/>
      <c r="E529" s="73"/>
      <c r="F529" s="74"/>
      <c r="G529" s="74"/>
      <c r="H529" s="74"/>
      <c r="I529" s="74"/>
      <c r="J529" s="74"/>
      <c r="K529" s="74"/>
      <c r="L529" s="74"/>
      <c r="M529" s="74"/>
      <c r="N529" s="74"/>
      <c r="O529" s="74"/>
      <c r="P529" s="74"/>
      <c r="Q529" s="74"/>
      <c r="R529" s="74"/>
      <c r="S529" s="74"/>
      <c r="T529" s="74"/>
      <c r="U529" s="74"/>
      <c r="V529" s="74"/>
      <c r="W529" s="74"/>
      <c r="X529" s="74"/>
      <c r="Y529" s="74"/>
      <c r="Z529" s="74"/>
    </row>
    <row r="530">
      <c r="A530" s="74"/>
      <c r="B530" s="73"/>
      <c r="C530" s="73"/>
      <c r="D530" s="73"/>
      <c r="E530" s="73"/>
      <c r="F530" s="74"/>
      <c r="G530" s="74"/>
      <c r="H530" s="74"/>
      <c r="I530" s="74"/>
      <c r="J530" s="74"/>
      <c r="K530" s="74"/>
      <c r="L530" s="74"/>
      <c r="M530" s="74"/>
      <c r="N530" s="74"/>
      <c r="O530" s="74"/>
      <c r="P530" s="74"/>
      <c r="Q530" s="74"/>
      <c r="R530" s="74"/>
      <c r="S530" s="74"/>
      <c r="T530" s="74"/>
      <c r="U530" s="74"/>
      <c r="V530" s="74"/>
      <c r="W530" s="74"/>
      <c r="X530" s="74"/>
      <c r="Y530" s="74"/>
      <c r="Z530" s="74"/>
    </row>
    <row r="531">
      <c r="A531" s="74"/>
      <c r="B531" s="73"/>
      <c r="C531" s="73"/>
      <c r="D531" s="73"/>
      <c r="E531" s="73"/>
      <c r="F531" s="74"/>
      <c r="G531" s="74"/>
      <c r="H531" s="74"/>
      <c r="I531" s="74"/>
      <c r="J531" s="74"/>
      <c r="K531" s="74"/>
      <c r="L531" s="74"/>
      <c r="M531" s="74"/>
      <c r="N531" s="74"/>
      <c r="O531" s="74"/>
      <c r="P531" s="74"/>
      <c r="Q531" s="74"/>
      <c r="R531" s="74"/>
      <c r="S531" s="74"/>
      <c r="T531" s="74"/>
      <c r="U531" s="74"/>
      <c r="V531" s="74"/>
      <c r="W531" s="74"/>
      <c r="X531" s="74"/>
      <c r="Y531" s="74"/>
      <c r="Z531" s="74"/>
    </row>
    <row r="532">
      <c r="A532" s="74"/>
      <c r="B532" s="73"/>
      <c r="C532" s="73"/>
      <c r="D532" s="73"/>
      <c r="E532" s="73"/>
      <c r="F532" s="74"/>
      <c r="G532" s="74"/>
      <c r="H532" s="74"/>
      <c r="I532" s="74"/>
      <c r="J532" s="74"/>
      <c r="K532" s="74"/>
      <c r="L532" s="74"/>
      <c r="M532" s="74"/>
      <c r="N532" s="74"/>
      <c r="O532" s="74"/>
      <c r="P532" s="74"/>
      <c r="Q532" s="74"/>
      <c r="R532" s="74"/>
      <c r="S532" s="74"/>
      <c r="T532" s="74"/>
      <c r="U532" s="74"/>
      <c r="V532" s="74"/>
      <c r="W532" s="74"/>
      <c r="X532" s="74"/>
      <c r="Y532" s="74"/>
      <c r="Z532" s="74"/>
    </row>
    <row r="533">
      <c r="A533" s="74"/>
      <c r="B533" s="73"/>
      <c r="C533" s="73"/>
      <c r="D533" s="73"/>
      <c r="E533" s="73"/>
      <c r="F533" s="74"/>
      <c r="G533" s="74"/>
      <c r="H533" s="74"/>
      <c r="I533" s="74"/>
      <c r="J533" s="74"/>
      <c r="K533" s="74"/>
      <c r="L533" s="74"/>
      <c r="M533" s="74"/>
      <c r="N533" s="74"/>
      <c r="O533" s="74"/>
      <c r="P533" s="74"/>
      <c r="Q533" s="74"/>
      <c r="R533" s="74"/>
      <c r="S533" s="74"/>
      <c r="T533" s="74"/>
      <c r="U533" s="74"/>
      <c r="V533" s="74"/>
      <c r="W533" s="74"/>
      <c r="X533" s="74"/>
      <c r="Y533" s="74"/>
      <c r="Z533" s="74"/>
    </row>
    <row r="534">
      <c r="A534" s="74"/>
      <c r="B534" s="73"/>
      <c r="C534" s="73"/>
      <c r="D534" s="73"/>
      <c r="E534" s="73"/>
      <c r="F534" s="74"/>
      <c r="G534" s="74"/>
      <c r="H534" s="74"/>
      <c r="I534" s="74"/>
      <c r="J534" s="74"/>
      <c r="K534" s="74"/>
      <c r="L534" s="74"/>
      <c r="M534" s="74"/>
      <c r="N534" s="74"/>
      <c r="O534" s="74"/>
      <c r="P534" s="74"/>
      <c r="Q534" s="74"/>
      <c r="R534" s="74"/>
      <c r="S534" s="74"/>
      <c r="T534" s="74"/>
      <c r="U534" s="74"/>
      <c r="V534" s="74"/>
      <c r="W534" s="74"/>
      <c r="X534" s="74"/>
      <c r="Y534" s="74"/>
      <c r="Z534" s="74"/>
    </row>
    <row r="535">
      <c r="A535" s="74"/>
      <c r="B535" s="73"/>
      <c r="C535" s="73"/>
      <c r="D535" s="73"/>
      <c r="E535" s="73"/>
      <c r="F535" s="74"/>
      <c r="G535" s="74"/>
      <c r="H535" s="74"/>
      <c r="I535" s="74"/>
      <c r="J535" s="74"/>
      <c r="K535" s="74"/>
      <c r="L535" s="74"/>
      <c r="M535" s="74"/>
      <c r="N535" s="74"/>
      <c r="O535" s="74"/>
      <c r="P535" s="74"/>
      <c r="Q535" s="74"/>
      <c r="R535" s="74"/>
      <c r="S535" s="74"/>
      <c r="T535" s="74"/>
      <c r="U535" s="74"/>
      <c r="V535" s="74"/>
      <c r="W535" s="74"/>
      <c r="X535" s="74"/>
      <c r="Y535" s="74"/>
      <c r="Z535" s="74"/>
    </row>
    <row r="536">
      <c r="A536" s="74"/>
      <c r="B536" s="73"/>
      <c r="C536" s="73"/>
      <c r="D536" s="73"/>
      <c r="E536" s="73"/>
      <c r="F536" s="74"/>
      <c r="G536" s="74"/>
      <c r="H536" s="74"/>
      <c r="I536" s="74"/>
      <c r="J536" s="74"/>
      <c r="K536" s="74"/>
      <c r="L536" s="74"/>
      <c r="M536" s="74"/>
      <c r="N536" s="74"/>
      <c r="O536" s="74"/>
      <c r="P536" s="74"/>
      <c r="Q536" s="74"/>
      <c r="R536" s="74"/>
      <c r="S536" s="74"/>
      <c r="T536" s="74"/>
      <c r="U536" s="74"/>
      <c r="V536" s="74"/>
      <c r="W536" s="74"/>
      <c r="X536" s="74"/>
      <c r="Y536" s="74"/>
      <c r="Z536" s="74"/>
    </row>
    <row r="537">
      <c r="A537" s="74"/>
      <c r="B537" s="73"/>
      <c r="C537" s="73"/>
      <c r="D537" s="73"/>
      <c r="E537" s="73"/>
      <c r="F537" s="74"/>
      <c r="G537" s="74"/>
      <c r="H537" s="74"/>
      <c r="I537" s="74"/>
      <c r="J537" s="74"/>
      <c r="K537" s="74"/>
      <c r="L537" s="74"/>
      <c r="M537" s="74"/>
      <c r="N537" s="74"/>
      <c r="O537" s="74"/>
      <c r="P537" s="74"/>
      <c r="Q537" s="74"/>
      <c r="R537" s="74"/>
      <c r="S537" s="74"/>
      <c r="T537" s="74"/>
      <c r="U537" s="74"/>
      <c r="V537" s="74"/>
      <c r="W537" s="74"/>
      <c r="X537" s="74"/>
      <c r="Y537" s="74"/>
      <c r="Z537" s="74"/>
    </row>
    <row r="538">
      <c r="A538" s="74"/>
      <c r="B538" s="73"/>
      <c r="C538" s="73"/>
      <c r="D538" s="73"/>
      <c r="E538" s="73"/>
      <c r="F538" s="74"/>
      <c r="G538" s="74"/>
      <c r="H538" s="74"/>
      <c r="I538" s="74"/>
      <c r="J538" s="74"/>
      <c r="K538" s="74"/>
      <c r="L538" s="74"/>
      <c r="M538" s="74"/>
      <c r="N538" s="74"/>
      <c r="O538" s="74"/>
      <c r="P538" s="74"/>
      <c r="Q538" s="74"/>
      <c r="R538" s="74"/>
      <c r="S538" s="74"/>
      <c r="T538" s="74"/>
      <c r="U538" s="74"/>
      <c r="V538" s="74"/>
      <c r="W538" s="74"/>
      <c r="X538" s="74"/>
      <c r="Y538" s="74"/>
      <c r="Z538" s="74"/>
    </row>
    <row r="539">
      <c r="A539" s="74"/>
      <c r="B539" s="73"/>
      <c r="C539" s="73"/>
      <c r="D539" s="73"/>
      <c r="E539" s="73"/>
      <c r="F539" s="74"/>
      <c r="G539" s="74"/>
      <c r="H539" s="74"/>
      <c r="I539" s="74"/>
      <c r="J539" s="74"/>
      <c r="K539" s="74"/>
      <c r="L539" s="74"/>
      <c r="M539" s="74"/>
      <c r="N539" s="74"/>
      <c r="O539" s="74"/>
      <c r="P539" s="74"/>
      <c r="Q539" s="74"/>
      <c r="R539" s="74"/>
      <c r="S539" s="74"/>
      <c r="T539" s="74"/>
      <c r="U539" s="74"/>
      <c r="V539" s="74"/>
      <c r="W539" s="74"/>
      <c r="X539" s="74"/>
      <c r="Y539" s="74"/>
      <c r="Z539" s="74"/>
    </row>
    <row r="540">
      <c r="A540" s="74"/>
      <c r="B540" s="73"/>
      <c r="C540" s="73"/>
      <c r="D540" s="73"/>
      <c r="E540" s="73"/>
      <c r="F540" s="74"/>
      <c r="G540" s="74"/>
      <c r="H540" s="74"/>
      <c r="I540" s="74"/>
      <c r="J540" s="74"/>
      <c r="K540" s="74"/>
      <c r="L540" s="74"/>
      <c r="M540" s="74"/>
      <c r="N540" s="74"/>
      <c r="O540" s="74"/>
      <c r="P540" s="74"/>
      <c r="Q540" s="74"/>
      <c r="R540" s="74"/>
      <c r="S540" s="74"/>
      <c r="T540" s="74"/>
      <c r="U540" s="74"/>
      <c r="V540" s="74"/>
      <c r="W540" s="74"/>
      <c r="X540" s="74"/>
      <c r="Y540" s="74"/>
      <c r="Z540" s="74"/>
    </row>
    <row r="541">
      <c r="A541" s="74"/>
      <c r="B541" s="73"/>
      <c r="C541" s="73"/>
      <c r="D541" s="73"/>
      <c r="E541" s="73"/>
      <c r="F541" s="74"/>
      <c r="G541" s="74"/>
      <c r="H541" s="74"/>
      <c r="I541" s="74"/>
      <c r="J541" s="74"/>
      <c r="K541" s="74"/>
      <c r="L541" s="74"/>
      <c r="M541" s="74"/>
      <c r="N541" s="74"/>
      <c r="O541" s="74"/>
      <c r="P541" s="74"/>
      <c r="Q541" s="74"/>
      <c r="R541" s="74"/>
      <c r="S541" s="74"/>
      <c r="T541" s="74"/>
      <c r="U541" s="74"/>
      <c r="V541" s="74"/>
      <c r="W541" s="74"/>
      <c r="X541" s="74"/>
      <c r="Y541" s="74"/>
      <c r="Z541" s="74"/>
    </row>
    <row r="542">
      <c r="A542" s="74"/>
      <c r="B542" s="73"/>
      <c r="C542" s="73"/>
      <c r="D542" s="73"/>
      <c r="E542" s="73"/>
      <c r="F542" s="74"/>
      <c r="G542" s="74"/>
      <c r="H542" s="74"/>
      <c r="I542" s="74"/>
      <c r="J542" s="74"/>
      <c r="K542" s="74"/>
      <c r="L542" s="74"/>
      <c r="M542" s="74"/>
      <c r="N542" s="74"/>
      <c r="O542" s="74"/>
      <c r="P542" s="74"/>
      <c r="Q542" s="74"/>
      <c r="R542" s="74"/>
      <c r="S542" s="74"/>
      <c r="T542" s="74"/>
      <c r="U542" s="74"/>
      <c r="V542" s="74"/>
      <c r="W542" s="74"/>
      <c r="X542" s="74"/>
      <c r="Y542" s="74"/>
      <c r="Z542" s="74"/>
    </row>
    <row r="543">
      <c r="A543" s="74"/>
      <c r="B543" s="73"/>
      <c r="C543" s="73"/>
      <c r="D543" s="73"/>
      <c r="E543" s="73"/>
      <c r="F543" s="74"/>
      <c r="G543" s="74"/>
      <c r="H543" s="74"/>
      <c r="I543" s="74"/>
      <c r="J543" s="74"/>
      <c r="K543" s="74"/>
      <c r="L543" s="74"/>
      <c r="M543" s="74"/>
      <c r="N543" s="74"/>
      <c r="O543" s="74"/>
      <c r="P543" s="74"/>
      <c r="Q543" s="74"/>
      <c r="R543" s="74"/>
      <c r="S543" s="74"/>
      <c r="T543" s="74"/>
      <c r="U543" s="74"/>
      <c r="V543" s="74"/>
      <c r="W543" s="74"/>
      <c r="X543" s="74"/>
      <c r="Y543" s="74"/>
      <c r="Z543" s="74"/>
    </row>
    <row r="544">
      <c r="A544" s="74"/>
      <c r="B544" s="73"/>
      <c r="C544" s="73"/>
      <c r="D544" s="73"/>
      <c r="E544" s="73"/>
      <c r="F544" s="74"/>
      <c r="G544" s="74"/>
      <c r="H544" s="74"/>
      <c r="I544" s="74"/>
      <c r="J544" s="74"/>
      <c r="K544" s="74"/>
      <c r="L544" s="74"/>
      <c r="M544" s="74"/>
      <c r="N544" s="74"/>
      <c r="O544" s="74"/>
      <c r="P544" s="74"/>
      <c r="Q544" s="74"/>
      <c r="R544" s="74"/>
      <c r="S544" s="74"/>
      <c r="T544" s="74"/>
      <c r="U544" s="74"/>
      <c r="V544" s="74"/>
      <c r="W544" s="74"/>
      <c r="X544" s="74"/>
      <c r="Y544" s="74"/>
      <c r="Z544" s="74"/>
    </row>
    <row r="545">
      <c r="A545" s="74"/>
      <c r="B545" s="73"/>
      <c r="C545" s="73"/>
      <c r="D545" s="73"/>
      <c r="E545" s="73"/>
      <c r="F545" s="74"/>
      <c r="G545" s="74"/>
      <c r="H545" s="74"/>
      <c r="I545" s="74"/>
      <c r="J545" s="74"/>
      <c r="K545" s="74"/>
      <c r="L545" s="74"/>
      <c r="M545" s="74"/>
      <c r="N545" s="74"/>
      <c r="O545" s="74"/>
      <c r="P545" s="74"/>
      <c r="Q545" s="74"/>
      <c r="R545" s="74"/>
      <c r="S545" s="74"/>
      <c r="T545" s="74"/>
      <c r="U545" s="74"/>
      <c r="V545" s="74"/>
      <c r="W545" s="74"/>
      <c r="X545" s="74"/>
      <c r="Y545" s="74"/>
      <c r="Z545" s="74"/>
    </row>
    <row r="546">
      <c r="A546" s="74"/>
      <c r="B546" s="73"/>
      <c r="C546" s="73"/>
      <c r="D546" s="73"/>
      <c r="E546" s="73"/>
      <c r="F546" s="74"/>
      <c r="G546" s="74"/>
      <c r="H546" s="74"/>
      <c r="I546" s="74"/>
      <c r="J546" s="74"/>
      <c r="K546" s="74"/>
      <c r="L546" s="74"/>
      <c r="M546" s="74"/>
      <c r="N546" s="74"/>
      <c r="O546" s="74"/>
      <c r="P546" s="74"/>
      <c r="Q546" s="74"/>
      <c r="R546" s="74"/>
      <c r="S546" s="74"/>
      <c r="T546" s="74"/>
      <c r="U546" s="74"/>
      <c r="V546" s="74"/>
      <c r="W546" s="74"/>
      <c r="X546" s="74"/>
      <c r="Y546" s="74"/>
      <c r="Z546" s="74"/>
    </row>
    <row r="547">
      <c r="A547" s="74"/>
      <c r="B547" s="73"/>
      <c r="C547" s="73"/>
      <c r="D547" s="73"/>
      <c r="E547" s="73"/>
      <c r="F547" s="74"/>
      <c r="G547" s="74"/>
      <c r="H547" s="74"/>
      <c r="I547" s="74"/>
      <c r="J547" s="74"/>
      <c r="K547" s="74"/>
      <c r="L547" s="74"/>
      <c r="M547" s="74"/>
      <c r="N547" s="74"/>
      <c r="O547" s="74"/>
      <c r="P547" s="74"/>
      <c r="Q547" s="74"/>
      <c r="R547" s="74"/>
      <c r="S547" s="74"/>
      <c r="T547" s="74"/>
      <c r="U547" s="74"/>
      <c r="V547" s="74"/>
      <c r="W547" s="74"/>
      <c r="X547" s="74"/>
      <c r="Y547" s="74"/>
      <c r="Z547" s="74"/>
    </row>
    <row r="548">
      <c r="A548" s="74"/>
      <c r="B548" s="73"/>
      <c r="C548" s="73"/>
      <c r="D548" s="73"/>
      <c r="E548" s="73"/>
      <c r="F548" s="74"/>
      <c r="G548" s="74"/>
      <c r="H548" s="74"/>
      <c r="I548" s="74"/>
      <c r="J548" s="74"/>
      <c r="K548" s="74"/>
      <c r="L548" s="74"/>
      <c r="M548" s="74"/>
      <c r="N548" s="74"/>
      <c r="O548" s="74"/>
      <c r="P548" s="74"/>
      <c r="Q548" s="74"/>
      <c r="R548" s="74"/>
      <c r="S548" s="74"/>
      <c r="T548" s="74"/>
      <c r="U548" s="74"/>
      <c r="V548" s="74"/>
      <c r="W548" s="74"/>
      <c r="X548" s="74"/>
      <c r="Y548" s="74"/>
      <c r="Z548" s="74"/>
    </row>
    <row r="549">
      <c r="A549" s="74"/>
      <c r="B549" s="73"/>
      <c r="C549" s="73"/>
      <c r="D549" s="73"/>
      <c r="E549" s="73"/>
      <c r="F549" s="74"/>
      <c r="G549" s="74"/>
      <c r="H549" s="74"/>
      <c r="I549" s="74"/>
      <c r="J549" s="74"/>
      <c r="K549" s="74"/>
      <c r="L549" s="74"/>
      <c r="M549" s="74"/>
      <c r="N549" s="74"/>
      <c r="O549" s="74"/>
      <c r="P549" s="74"/>
      <c r="Q549" s="74"/>
      <c r="R549" s="74"/>
      <c r="S549" s="74"/>
      <c r="T549" s="74"/>
      <c r="U549" s="74"/>
      <c r="V549" s="74"/>
      <c r="W549" s="74"/>
      <c r="X549" s="74"/>
      <c r="Y549" s="74"/>
      <c r="Z549" s="74"/>
    </row>
    <row r="550">
      <c r="A550" s="74"/>
      <c r="B550" s="73"/>
      <c r="C550" s="73"/>
      <c r="D550" s="73"/>
      <c r="E550" s="73"/>
      <c r="F550" s="74"/>
      <c r="G550" s="74"/>
      <c r="H550" s="74"/>
      <c r="I550" s="74"/>
      <c r="J550" s="74"/>
      <c r="K550" s="74"/>
      <c r="L550" s="74"/>
      <c r="M550" s="74"/>
      <c r="N550" s="74"/>
      <c r="O550" s="74"/>
      <c r="P550" s="74"/>
      <c r="Q550" s="74"/>
      <c r="R550" s="74"/>
      <c r="S550" s="74"/>
      <c r="T550" s="74"/>
      <c r="U550" s="74"/>
      <c r="V550" s="74"/>
      <c r="W550" s="74"/>
      <c r="X550" s="74"/>
      <c r="Y550" s="74"/>
      <c r="Z550" s="74"/>
    </row>
    <row r="551">
      <c r="A551" s="74"/>
      <c r="B551" s="73"/>
      <c r="C551" s="73"/>
      <c r="D551" s="73"/>
      <c r="E551" s="73"/>
      <c r="F551" s="74"/>
      <c r="G551" s="74"/>
      <c r="H551" s="74"/>
      <c r="I551" s="74"/>
      <c r="J551" s="74"/>
      <c r="K551" s="74"/>
      <c r="L551" s="74"/>
      <c r="M551" s="74"/>
      <c r="N551" s="74"/>
      <c r="O551" s="74"/>
      <c r="P551" s="74"/>
      <c r="Q551" s="74"/>
      <c r="R551" s="74"/>
      <c r="S551" s="74"/>
      <c r="T551" s="74"/>
      <c r="U551" s="74"/>
      <c r="V551" s="74"/>
      <c r="W551" s="74"/>
      <c r="X551" s="74"/>
      <c r="Y551" s="74"/>
      <c r="Z551" s="74"/>
    </row>
    <row r="552">
      <c r="A552" s="74"/>
      <c r="B552" s="73"/>
      <c r="C552" s="73"/>
      <c r="D552" s="73"/>
      <c r="E552" s="73"/>
      <c r="F552" s="74"/>
      <c r="G552" s="74"/>
      <c r="H552" s="74"/>
      <c r="I552" s="74"/>
      <c r="J552" s="74"/>
      <c r="K552" s="74"/>
      <c r="L552" s="74"/>
      <c r="M552" s="74"/>
      <c r="N552" s="74"/>
      <c r="O552" s="74"/>
      <c r="P552" s="74"/>
      <c r="Q552" s="74"/>
      <c r="R552" s="74"/>
      <c r="S552" s="74"/>
      <c r="T552" s="74"/>
      <c r="U552" s="74"/>
      <c r="V552" s="74"/>
      <c r="W552" s="74"/>
      <c r="X552" s="74"/>
      <c r="Y552" s="74"/>
      <c r="Z552" s="74"/>
    </row>
    <row r="553">
      <c r="A553" s="74"/>
      <c r="B553" s="73"/>
      <c r="C553" s="73"/>
      <c r="D553" s="73"/>
      <c r="E553" s="73"/>
      <c r="F553" s="74"/>
      <c r="G553" s="74"/>
      <c r="H553" s="74"/>
      <c r="I553" s="74"/>
      <c r="J553" s="74"/>
      <c r="K553" s="74"/>
      <c r="L553" s="74"/>
      <c r="M553" s="74"/>
      <c r="N553" s="74"/>
      <c r="O553" s="74"/>
      <c r="P553" s="74"/>
      <c r="Q553" s="74"/>
      <c r="R553" s="74"/>
      <c r="S553" s="74"/>
      <c r="T553" s="74"/>
      <c r="U553" s="74"/>
      <c r="V553" s="74"/>
      <c r="W553" s="74"/>
      <c r="X553" s="74"/>
      <c r="Y553" s="74"/>
      <c r="Z553" s="74"/>
    </row>
    <row r="554">
      <c r="A554" s="74"/>
      <c r="B554" s="73"/>
      <c r="C554" s="73"/>
      <c r="D554" s="73"/>
      <c r="E554" s="73"/>
      <c r="F554" s="74"/>
      <c r="G554" s="74"/>
      <c r="H554" s="74"/>
      <c r="I554" s="74"/>
      <c r="J554" s="74"/>
      <c r="K554" s="74"/>
      <c r="L554" s="74"/>
      <c r="M554" s="74"/>
      <c r="N554" s="74"/>
      <c r="O554" s="74"/>
      <c r="P554" s="74"/>
      <c r="Q554" s="74"/>
      <c r="R554" s="74"/>
      <c r="S554" s="74"/>
      <c r="T554" s="74"/>
      <c r="U554" s="74"/>
      <c r="V554" s="74"/>
      <c r="W554" s="74"/>
      <c r="X554" s="74"/>
      <c r="Y554" s="74"/>
      <c r="Z554" s="74"/>
    </row>
    <row r="555">
      <c r="A555" s="74"/>
      <c r="B555" s="73"/>
      <c r="C555" s="73"/>
      <c r="D555" s="73"/>
      <c r="E555" s="73"/>
      <c r="F555" s="74"/>
      <c r="G555" s="74"/>
      <c r="H555" s="74"/>
      <c r="I555" s="74"/>
      <c r="J555" s="74"/>
      <c r="K555" s="74"/>
      <c r="L555" s="74"/>
      <c r="M555" s="74"/>
      <c r="N555" s="74"/>
      <c r="O555" s="74"/>
      <c r="P555" s="74"/>
      <c r="Q555" s="74"/>
      <c r="R555" s="74"/>
      <c r="S555" s="74"/>
      <c r="T555" s="74"/>
      <c r="U555" s="74"/>
      <c r="V555" s="74"/>
      <c r="W555" s="74"/>
      <c r="X555" s="74"/>
      <c r="Y555" s="74"/>
      <c r="Z555" s="74"/>
    </row>
    <row r="556">
      <c r="A556" s="74"/>
      <c r="B556" s="73"/>
      <c r="C556" s="73"/>
      <c r="D556" s="73"/>
      <c r="E556" s="73"/>
      <c r="F556" s="74"/>
      <c r="G556" s="74"/>
      <c r="H556" s="74"/>
      <c r="I556" s="74"/>
      <c r="J556" s="74"/>
      <c r="K556" s="74"/>
      <c r="L556" s="74"/>
      <c r="M556" s="74"/>
      <c r="N556" s="74"/>
      <c r="O556" s="74"/>
      <c r="P556" s="74"/>
      <c r="Q556" s="74"/>
      <c r="R556" s="74"/>
      <c r="S556" s="74"/>
      <c r="T556" s="74"/>
      <c r="U556" s="74"/>
      <c r="V556" s="74"/>
      <c r="W556" s="74"/>
      <c r="X556" s="74"/>
      <c r="Y556" s="74"/>
      <c r="Z556" s="74"/>
    </row>
    <row r="557">
      <c r="A557" s="74"/>
      <c r="B557" s="73"/>
      <c r="C557" s="73"/>
      <c r="D557" s="73"/>
      <c r="E557" s="73"/>
      <c r="F557" s="74"/>
      <c r="G557" s="74"/>
      <c r="H557" s="74"/>
      <c r="I557" s="74"/>
      <c r="J557" s="74"/>
      <c r="K557" s="74"/>
      <c r="L557" s="74"/>
      <c r="M557" s="74"/>
      <c r="N557" s="74"/>
      <c r="O557" s="74"/>
      <c r="P557" s="74"/>
      <c r="Q557" s="74"/>
      <c r="R557" s="74"/>
      <c r="S557" s="74"/>
      <c r="T557" s="74"/>
      <c r="U557" s="74"/>
      <c r="V557" s="74"/>
      <c r="W557" s="74"/>
      <c r="X557" s="74"/>
      <c r="Y557" s="74"/>
      <c r="Z557" s="74"/>
    </row>
    <row r="558">
      <c r="A558" s="74"/>
      <c r="B558" s="73"/>
      <c r="C558" s="73"/>
      <c r="D558" s="73"/>
      <c r="E558" s="73"/>
      <c r="F558" s="74"/>
      <c r="G558" s="74"/>
      <c r="H558" s="74"/>
      <c r="I558" s="74"/>
      <c r="J558" s="74"/>
      <c r="K558" s="74"/>
      <c r="L558" s="74"/>
      <c r="M558" s="74"/>
      <c r="N558" s="74"/>
      <c r="O558" s="74"/>
      <c r="P558" s="74"/>
      <c r="Q558" s="74"/>
      <c r="R558" s="74"/>
      <c r="S558" s="74"/>
      <c r="T558" s="74"/>
      <c r="U558" s="74"/>
      <c r="V558" s="74"/>
      <c r="W558" s="74"/>
      <c r="X558" s="74"/>
      <c r="Y558" s="74"/>
      <c r="Z558" s="74"/>
    </row>
    <row r="559">
      <c r="A559" s="74"/>
      <c r="B559" s="73"/>
      <c r="C559" s="73"/>
      <c r="D559" s="73"/>
      <c r="E559" s="73"/>
      <c r="F559" s="74"/>
      <c r="G559" s="74"/>
      <c r="H559" s="74"/>
      <c r="I559" s="74"/>
      <c r="J559" s="74"/>
      <c r="K559" s="74"/>
      <c r="L559" s="74"/>
      <c r="M559" s="74"/>
      <c r="N559" s="74"/>
      <c r="O559" s="74"/>
      <c r="P559" s="74"/>
      <c r="Q559" s="74"/>
      <c r="R559" s="74"/>
      <c r="S559" s="74"/>
      <c r="T559" s="74"/>
      <c r="U559" s="74"/>
      <c r="V559" s="74"/>
      <c r="W559" s="74"/>
      <c r="X559" s="74"/>
      <c r="Y559" s="74"/>
      <c r="Z559" s="74"/>
    </row>
    <row r="560">
      <c r="A560" s="74"/>
      <c r="B560" s="73"/>
      <c r="C560" s="73"/>
      <c r="D560" s="73"/>
      <c r="E560" s="73"/>
      <c r="F560" s="74"/>
      <c r="G560" s="74"/>
      <c r="H560" s="74"/>
      <c r="I560" s="74"/>
      <c r="J560" s="74"/>
      <c r="K560" s="74"/>
      <c r="L560" s="74"/>
      <c r="M560" s="74"/>
      <c r="N560" s="74"/>
      <c r="O560" s="74"/>
      <c r="P560" s="74"/>
      <c r="Q560" s="74"/>
      <c r="R560" s="74"/>
      <c r="S560" s="74"/>
      <c r="T560" s="74"/>
      <c r="U560" s="74"/>
      <c r="V560" s="74"/>
      <c r="W560" s="74"/>
      <c r="X560" s="74"/>
      <c r="Y560" s="74"/>
      <c r="Z560" s="74"/>
    </row>
    <row r="561">
      <c r="A561" s="74"/>
      <c r="B561" s="73"/>
      <c r="C561" s="73"/>
      <c r="D561" s="73"/>
      <c r="E561" s="73"/>
      <c r="F561" s="74"/>
      <c r="G561" s="74"/>
      <c r="H561" s="74"/>
      <c r="I561" s="74"/>
      <c r="J561" s="74"/>
      <c r="K561" s="74"/>
      <c r="L561" s="74"/>
      <c r="M561" s="74"/>
      <c r="N561" s="74"/>
      <c r="O561" s="74"/>
      <c r="P561" s="74"/>
      <c r="Q561" s="74"/>
      <c r="R561" s="74"/>
      <c r="S561" s="74"/>
      <c r="T561" s="74"/>
      <c r="U561" s="74"/>
      <c r="V561" s="74"/>
      <c r="W561" s="74"/>
      <c r="X561" s="74"/>
      <c r="Y561" s="74"/>
      <c r="Z561" s="74"/>
    </row>
    <row r="562">
      <c r="A562" s="74"/>
      <c r="B562" s="73"/>
      <c r="C562" s="73"/>
      <c r="D562" s="73"/>
      <c r="E562" s="73"/>
      <c r="F562" s="74"/>
      <c r="G562" s="74"/>
      <c r="H562" s="74"/>
      <c r="I562" s="74"/>
      <c r="J562" s="74"/>
      <c r="K562" s="74"/>
      <c r="L562" s="74"/>
      <c r="M562" s="74"/>
      <c r="N562" s="74"/>
      <c r="O562" s="74"/>
      <c r="P562" s="74"/>
      <c r="Q562" s="74"/>
      <c r="R562" s="74"/>
      <c r="S562" s="74"/>
      <c r="T562" s="74"/>
      <c r="U562" s="74"/>
      <c r="V562" s="74"/>
      <c r="W562" s="74"/>
      <c r="X562" s="74"/>
      <c r="Y562" s="74"/>
      <c r="Z562" s="74"/>
    </row>
    <row r="563">
      <c r="A563" s="74"/>
      <c r="B563" s="73"/>
      <c r="C563" s="73"/>
      <c r="D563" s="73"/>
      <c r="E563" s="73"/>
      <c r="F563" s="74"/>
      <c r="G563" s="74"/>
      <c r="H563" s="74"/>
      <c r="I563" s="74"/>
      <c r="J563" s="74"/>
      <c r="K563" s="74"/>
      <c r="L563" s="74"/>
      <c r="M563" s="74"/>
      <c r="N563" s="74"/>
      <c r="O563" s="74"/>
      <c r="P563" s="74"/>
      <c r="Q563" s="74"/>
      <c r="R563" s="74"/>
      <c r="S563" s="74"/>
      <c r="T563" s="74"/>
      <c r="U563" s="74"/>
      <c r="V563" s="74"/>
      <c r="W563" s="74"/>
      <c r="X563" s="74"/>
      <c r="Y563" s="74"/>
      <c r="Z563" s="74"/>
    </row>
    <row r="564">
      <c r="A564" s="74"/>
      <c r="B564" s="73"/>
      <c r="C564" s="73"/>
      <c r="D564" s="73"/>
      <c r="E564" s="73"/>
      <c r="F564" s="74"/>
      <c r="G564" s="74"/>
      <c r="H564" s="74"/>
      <c r="I564" s="74"/>
      <c r="J564" s="74"/>
      <c r="K564" s="74"/>
      <c r="L564" s="74"/>
      <c r="M564" s="74"/>
      <c r="N564" s="74"/>
      <c r="O564" s="74"/>
      <c r="P564" s="74"/>
      <c r="Q564" s="74"/>
      <c r="R564" s="74"/>
      <c r="S564" s="74"/>
      <c r="T564" s="74"/>
      <c r="U564" s="74"/>
      <c r="V564" s="74"/>
      <c r="W564" s="74"/>
      <c r="X564" s="74"/>
      <c r="Y564" s="74"/>
      <c r="Z564" s="74"/>
    </row>
    <row r="565">
      <c r="A565" s="74"/>
      <c r="B565" s="73"/>
      <c r="C565" s="73"/>
      <c r="D565" s="73"/>
      <c r="E565" s="73"/>
      <c r="F565" s="74"/>
      <c r="G565" s="74"/>
      <c r="H565" s="74"/>
      <c r="I565" s="74"/>
      <c r="J565" s="74"/>
      <c r="K565" s="74"/>
      <c r="L565" s="74"/>
      <c r="M565" s="74"/>
      <c r="N565" s="74"/>
      <c r="O565" s="74"/>
      <c r="P565" s="74"/>
      <c r="Q565" s="74"/>
      <c r="R565" s="74"/>
      <c r="S565" s="74"/>
      <c r="T565" s="74"/>
      <c r="U565" s="74"/>
      <c r="V565" s="74"/>
      <c r="W565" s="74"/>
      <c r="X565" s="74"/>
      <c r="Y565" s="74"/>
      <c r="Z565" s="74"/>
    </row>
    <row r="566">
      <c r="A566" s="74"/>
      <c r="B566" s="73"/>
      <c r="C566" s="73"/>
      <c r="D566" s="73"/>
      <c r="E566" s="73"/>
      <c r="F566" s="74"/>
      <c r="G566" s="74"/>
      <c r="H566" s="74"/>
      <c r="I566" s="74"/>
      <c r="J566" s="74"/>
      <c r="K566" s="74"/>
      <c r="L566" s="74"/>
      <c r="M566" s="74"/>
      <c r="N566" s="74"/>
      <c r="O566" s="74"/>
      <c r="P566" s="74"/>
      <c r="Q566" s="74"/>
      <c r="R566" s="74"/>
      <c r="S566" s="74"/>
      <c r="T566" s="74"/>
      <c r="U566" s="74"/>
      <c r="V566" s="74"/>
      <c r="W566" s="74"/>
      <c r="X566" s="74"/>
      <c r="Y566" s="74"/>
      <c r="Z566" s="74"/>
    </row>
    <row r="567">
      <c r="A567" s="74"/>
      <c r="B567" s="73"/>
      <c r="C567" s="73"/>
      <c r="D567" s="73"/>
      <c r="E567" s="73"/>
      <c r="F567" s="74"/>
      <c r="G567" s="74"/>
      <c r="H567" s="74"/>
      <c r="I567" s="74"/>
      <c r="J567" s="74"/>
      <c r="K567" s="74"/>
      <c r="L567" s="74"/>
      <c r="M567" s="74"/>
      <c r="N567" s="74"/>
      <c r="O567" s="74"/>
      <c r="P567" s="74"/>
      <c r="Q567" s="74"/>
      <c r="R567" s="74"/>
      <c r="S567" s="74"/>
      <c r="T567" s="74"/>
      <c r="U567" s="74"/>
      <c r="V567" s="74"/>
      <c r="W567" s="74"/>
      <c r="X567" s="74"/>
      <c r="Y567" s="74"/>
      <c r="Z567" s="74"/>
    </row>
    <row r="568">
      <c r="A568" s="74"/>
      <c r="B568" s="73"/>
      <c r="C568" s="73"/>
      <c r="D568" s="73"/>
      <c r="E568" s="73"/>
      <c r="F568" s="74"/>
      <c r="G568" s="74"/>
      <c r="H568" s="74"/>
      <c r="I568" s="74"/>
      <c r="J568" s="74"/>
      <c r="K568" s="74"/>
      <c r="L568" s="74"/>
      <c r="M568" s="74"/>
      <c r="N568" s="74"/>
      <c r="O568" s="74"/>
      <c r="P568" s="74"/>
      <c r="Q568" s="74"/>
      <c r="R568" s="74"/>
      <c r="S568" s="74"/>
      <c r="T568" s="74"/>
      <c r="U568" s="74"/>
      <c r="V568" s="74"/>
      <c r="W568" s="74"/>
      <c r="X568" s="74"/>
      <c r="Y568" s="74"/>
      <c r="Z568" s="74"/>
    </row>
    <row r="569">
      <c r="A569" s="74"/>
      <c r="B569" s="73"/>
      <c r="C569" s="73"/>
      <c r="D569" s="73"/>
      <c r="E569" s="73"/>
      <c r="F569" s="74"/>
      <c r="G569" s="74"/>
      <c r="H569" s="74"/>
      <c r="I569" s="74"/>
      <c r="J569" s="74"/>
      <c r="K569" s="74"/>
      <c r="L569" s="74"/>
      <c r="M569" s="74"/>
      <c r="N569" s="74"/>
      <c r="O569" s="74"/>
      <c r="P569" s="74"/>
      <c r="Q569" s="74"/>
      <c r="R569" s="74"/>
      <c r="S569" s="74"/>
      <c r="T569" s="74"/>
      <c r="U569" s="74"/>
      <c r="V569" s="74"/>
      <c r="W569" s="74"/>
      <c r="X569" s="74"/>
      <c r="Y569" s="74"/>
      <c r="Z569" s="74"/>
    </row>
    <row r="570">
      <c r="A570" s="74"/>
      <c r="B570" s="73"/>
      <c r="C570" s="73"/>
      <c r="D570" s="73"/>
      <c r="E570" s="73"/>
      <c r="F570" s="74"/>
      <c r="G570" s="74"/>
      <c r="H570" s="74"/>
      <c r="I570" s="74"/>
      <c r="J570" s="74"/>
      <c r="K570" s="74"/>
      <c r="L570" s="74"/>
      <c r="M570" s="74"/>
      <c r="N570" s="74"/>
      <c r="O570" s="74"/>
      <c r="P570" s="74"/>
      <c r="Q570" s="74"/>
      <c r="R570" s="74"/>
      <c r="S570" s="74"/>
      <c r="T570" s="74"/>
      <c r="U570" s="74"/>
      <c r="V570" s="74"/>
      <c r="W570" s="74"/>
      <c r="X570" s="74"/>
      <c r="Y570" s="74"/>
      <c r="Z570" s="74"/>
    </row>
    <row r="571">
      <c r="A571" s="74"/>
      <c r="B571" s="73"/>
      <c r="C571" s="73"/>
      <c r="D571" s="73"/>
      <c r="E571" s="73"/>
      <c r="F571" s="74"/>
      <c r="G571" s="74"/>
      <c r="H571" s="74"/>
      <c r="I571" s="74"/>
      <c r="J571" s="74"/>
      <c r="K571" s="74"/>
      <c r="L571" s="74"/>
      <c r="M571" s="74"/>
      <c r="N571" s="74"/>
      <c r="O571" s="74"/>
      <c r="P571" s="74"/>
      <c r="Q571" s="74"/>
      <c r="R571" s="74"/>
      <c r="S571" s="74"/>
      <c r="T571" s="74"/>
      <c r="U571" s="74"/>
      <c r="V571" s="74"/>
      <c r="W571" s="74"/>
      <c r="X571" s="74"/>
      <c r="Y571" s="74"/>
      <c r="Z571" s="74"/>
    </row>
    <row r="572">
      <c r="A572" s="74"/>
      <c r="B572" s="73"/>
      <c r="C572" s="73"/>
      <c r="D572" s="73"/>
      <c r="E572" s="73"/>
      <c r="F572" s="74"/>
      <c r="G572" s="74"/>
      <c r="H572" s="74"/>
      <c r="I572" s="74"/>
      <c r="J572" s="74"/>
      <c r="K572" s="74"/>
      <c r="L572" s="74"/>
      <c r="M572" s="74"/>
      <c r="N572" s="74"/>
      <c r="O572" s="74"/>
      <c r="P572" s="74"/>
      <c r="Q572" s="74"/>
      <c r="R572" s="74"/>
      <c r="S572" s="74"/>
      <c r="T572" s="74"/>
      <c r="U572" s="74"/>
      <c r="V572" s="74"/>
      <c r="W572" s="74"/>
      <c r="X572" s="74"/>
      <c r="Y572" s="74"/>
      <c r="Z572" s="74"/>
    </row>
    <row r="573">
      <c r="A573" s="74"/>
      <c r="B573" s="73"/>
      <c r="C573" s="73"/>
      <c r="D573" s="73"/>
      <c r="E573" s="73"/>
      <c r="F573" s="74"/>
      <c r="G573" s="74"/>
      <c r="H573" s="74"/>
      <c r="I573" s="74"/>
      <c r="J573" s="74"/>
      <c r="K573" s="74"/>
      <c r="L573" s="74"/>
      <c r="M573" s="74"/>
      <c r="N573" s="74"/>
      <c r="O573" s="74"/>
      <c r="P573" s="74"/>
      <c r="Q573" s="74"/>
      <c r="R573" s="74"/>
      <c r="S573" s="74"/>
      <c r="T573" s="74"/>
      <c r="U573" s="74"/>
      <c r="V573" s="74"/>
      <c r="W573" s="74"/>
      <c r="X573" s="74"/>
      <c r="Y573" s="74"/>
      <c r="Z573" s="74"/>
    </row>
    <row r="574">
      <c r="A574" s="74"/>
      <c r="B574" s="73"/>
      <c r="C574" s="73"/>
      <c r="D574" s="73"/>
      <c r="E574" s="73"/>
      <c r="F574" s="74"/>
      <c r="G574" s="74"/>
      <c r="H574" s="74"/>
      <c r="I574" s="74"/>
      <c r="J574" s="74"/>
      <c r="K574" s="74"/>
      <c r="L574" s="74"/>
      <c r="M574" s="74"/>
      <c r="N574" s="74"/>
      <c r="O574" s="74"/>
      <c r="P574" s="74"/>
      <c r="Q574" s="74"/>
      <c r="R574" s="74"/>
      <c r="S574" s="74"/>
      <c r="T574" s="74"/>
      <c r="U574" s="74"/>
      <c r="V574" s="74"/>
      <c r="W574" s="74"/>
      <c r="X574" s="74"/>
      <c r="Y574" s="74"/>
      <c r="Z574" s="74"/>
    </row>
    <row r="575">
      <c r="A575" s="74"/>
      <c r="B575" s="73"/>
      <c r="C575" s="73"/>
      <c r="D575" s="73"/>
      <c r="E575" s="73"/>
      <c r="F575" s="74"/>
      <c r="G575" s="74"/>
      <c r="H575" s="74"/>
      <c r="I575" s="74"/>
      <c r="J575" s="74"/>
      <c r="K575" s="74"/>
      <c r="L575" s="74"/>
      <c r="M575" s="74"/>
      <c r="N575" s="74"/>
      <c r="O575" s="74"/>
      <c r="P575" s="74"/>
      <c r="Q575" s="74"/>
      <c r="R575" s="74"/>
      <c r="S575" s="74"/>
      <c r="T575" s="74"/>
      <c r="U575" s="74"/>
      <c r="V575" s="74"/>
      <c r="W575" s="74"/>
      <c r="X575" s="74"/>
      <c r="Y575" s="74"/>
      <c r="Z575" s="74"/>
    </row>
    <row r="576">
      <c r="A576" s="74"/>
      <c r="B576" s="73"/>
      <c r="C576" s="73"/>
      <c r="D576" s="73"/>
      <c r="E576" s="73"/>
      <c r="F576" s="74"/>
      <c r="G576" s="74"/>
      <c r="H576" s="74"/>
      <c r="I576" s="74"/>
      <c r="J576" s="74"/>
      <c r="K576" s="74"/>
      <c r="L576" s="74"/>
      <c r="M576" s="74"/>
      <c r="N576" s="74"/>
      <c r="O576" s="74"/>
      <c r="P576" s="74"/>
      <c r="Q576" s="74"/>
      <c r="R576" s="74"/>
      <c r="S576" s="74"/>
      <c r="T576" s="74"/>
      <c r="U576" s="74"/>
      <c r="V576" s="74"/>
      <c r="W576" s="74"/>
      <c r="X576" s="74"/>
      <c r="Y576" s="74"/>
      <c r="Z576" s="74"/>
    </row>
    <row r="577">
      <c r="A577" s="74"/>
      <c r="B577" s="73"/>
      <c r="C577" s="73"/>
      <c r="D577" s="73"/>
      <c r="E577" s="73"/>
      <c r="F577" s="74"/>
      <c r="G577" s="74"/>
      <c r="H577" s="74"/>
      <c r="I577" s="74"/>
      <c r="J577" s="74"/>
      <c r="K577" s="74"/>
      <c r="L577" s="74"/>
      <c r="M577" s="74"/>
      <c r="N577" s="74"/>
      <c r="O577" s="74"/>
      <c r="P577" s="74"/>
      <c r="Q577" s="74"/>
      <c r="R577" s="74"/>
      <c r="S577" s="74"/>
      <c r="T577" s="74"/>
      <c r="U577" s="74"/>
      <c r="V577" s="74"/>
      <c r="W577" s="74"/>
      <c r="X577" s="74"/>
      <c r="Y577" s="74"/>
      <c r="Z577" s="74"/>
    </row>
    <row r="578">
      <c r="A578" s="74"/>
      <c r="B578" s="73"/>
      <c r="C578" s="73"/>
      <c r="D578" s="73"/>
      <c r="E578" s="73"/>
      <c r="F578" s="74"/>
      <c r="G578" s="74"/>
      <c r="H578" s="74"/>
      <c r="I578" s="74"/>
      <c r="J578" s="74"/>
      <c r="K578" s="74"/>
      <c r="L578" s="74"/>
      <c r="M578" s="74"/>
      <c r="N578" s="74"/>
      <c r="O578" s="74"/>
      <c r="P578" s="74"/>
      <c r="Q578" s="74"/>
      <c r="R578" s="74"/>
      <c r="S578" s="74"/>
      <c r="T578" s="74"/>
      <c r="U578" s="74"/>
      <c r="V578" s="74"/>
      <c r="W578" s="74"/>
      <c r="X578" s="74"/>
      <c r="Y578" s="74"/>
      <c r="Z578" s="74"/>
    </row>
    <row r="579">
      <c r="A579" s="74"/>
      <c r="B579" s="73"/>
      <c r="C579" s="73"/>
      <c r="D579" s="73"/>
      <c r="E579" s="73"/>
      <c r="F579" s="74"/>
      <c r="G579" s="74"/>
      <c r="H579" s="74"/>
      <c r="I579" s="74"/>
      <c r="J579" s="74"/>
      <c r="K579" s="74"/>
      <c r="L579" s="74"/>
      <c r="M579" s="74"/>
      <c r="N579" s="74"/>
      <c r="O579" s="74"/>
      <c r="P579" s="74"/>
      <c r="Q579" s="74"/>
      <c r="R579" s="74"/>
      <c r="S579" s="74"/>
      <c r="T579" s="74"/>
      <c r="U579" s="74"/>
      <c r="V579" s="74"/>
      <c r="W579" s="74"/>
      <c r="X579" s="74"/>
      <c r="Y579" s="74"/>
      <c r="Z579" s="74"/>
    </row>
    <row r="580">
      <c r="A580" s="74"/>
      <c r="B580" s="73"/>
      <c r="C580" s="73"/>
      <c r="D580" s="73"/>
      <c r="E580" s="73"/>
      <c r="F580" s="74"/>
      <c r="G580" s="74"/>
      <c r="H580" s="74"/>
      <c r="I580" s="74"/>
      <c r="J580" s="74"/>
      <c r="K580" s="74"/>
      <c r="L580" s="74"/>
      <c r="M580" s="74"/>
      <c r="N580" s="74"/>
      <c r="O580" s="74"/>
      <c r="P580" s="74"/>
      <c r="Q580" s="74"/>
      <c r="R580" s="74"/>
      <c r="S580" s="74"/>
      <c r="T580" s="74"/>
      <c r="U580" s="74"/>
      <c r="V580" s="74"/>
      <c r="W580" s="74"/>
      <c r="X580" s="74"/>
      <c r="Y580" s="74"/>
      <c r="Z580" s="74"/>
    </row>
    <row r="581">
      <c r="A581" s="74"/>
      <c r="B581" s="73"/>
      <c r="C581" s="73"/>
      <c r="D581" s="73"/>
      <c r="E581" s="73"/>
      <c r="F581" s="74"/>
      <c r="G581" s="74"/>
      <c r="H581" s="74"/>
      <c r="I581" s="74"/>
      <c r="J581" s="74"/>
      <c r="K581" s="74"/>
      <c r="L581" s="74"/>
      <c r="M581" s="74"/>
      <c r="N581" s="74"/>
      <c r="O581" s="74"/>
      <c r="P581" s="74"/>
      <c r="Q581" s="74"/>
      <c r="R581" s="74"/>
      <c r="S581" s="74"/>
      <c r="T581" s="74"/>
      <c r="U581" s="74"/>
      <c r="V581" s="74"/>
      <c r="W581" s="74"/>
      <c r="X581" s="74"/>
      <c r="Y581" s="74"/>
      <c r="Z581" s="74"/>
    </row>
    <row r="582">
      <c r="A582" s="74"/>
      <c r="B582" s="73"/>
      <c r="C582" s="73"/>
      <c r="D582" s="73"/>
      <c r="E582" s="73"/>
      <c r="F582" s="74"/>
      <c r="G582" s="74"/>
      <c r="H582" s="74"/>
      <c r="I582" s="74"/>
      <c r="J582" s="74"/>
      <c r="K582" s="74"/>
      <c r="L582" s="74"/>
      <c r="M582" s="74"/>
      <c r="N582" s="74"/>
      <c r="O582" s="74"/>
      <c r="P582" s="74"/>
      <c r="Q582" s="74"/>
      <c r="R582" s="74"/>
      <c r="S582" s="74"/>
      <c r="T582" s="74"/>
      <c r="U582" s="74"/>
      <c r="V582" s="74"/>
      <c r="W582" s="74"/>
      <c r="X582" s="74"/>
      <c r="Y582" s="74"/>
      <c r="Z582" s="74"/>
    </row>
    <row r="583">
      <c r="A583" s="74"/>
      <c r="B583" s="73"/>
      <c r="C583" s="73"/>
      <c r="D583" s="73"/>
      <c r="E583" s="73"/>
      <c r="F583" s="74"/>
      <c r="G583" s="74"/>
      <c r="H583" s="74"/>
      <c r="I583" s="74"/>
      <c r="J583" s="74"/>
      <c r="K583" s="74"/>
      <c r="L583" s="74"/>
      <c r="M583" s="74"/>
      <c r="N583" s="74"/>
      <c r="O583" s="74"/>
      <c r="P583" s="74"/>
      <c r="Q583" s="74"/>
      <c r="R583" s="74"/>
      <c r="S583" s="74"/>
      <c r="T583" s="74"/>
      <c r="U583" s="74"/>
      <c r="V583" s="74"/>
      <c r="W583" s="74"/>
      <c r="X583" s="74"/>
      <c r="Y583" s="74"/>
      <c r="Z583" s="74"/>
    </row>
    <row r="584">
      <c r="A584" s="74"/>
      <c r="B584" s="73"/>
      <c r="C584" s="73"/>
      <c r="D584" s="73"/>
      <c r="E584" s="73"/>
      <c r="F584" s="74"/>
      <c r="G584" s="74"/>
      <c r="H584" s="74"/>
      <c r="I584" s="74"/>
      <c r="J584" s="74"/>
      <c r="K584" s="74"/>
      <c r="L584" s="74"/>
      <c r="M584" s="74"/>
      <c r="N584" s="74"/>
      <c r="O584" s="74"/>
      <c r="P584" s="74"/>
      <c r="Q584" s="74"/>
      <c r="R584" s="74"/>
      <c r="S584" s="74"/>
      <c r="T584" s="74"/>
      <c r="U584" s="74"/>
      <c r="V584" s="74"/>
      <c r="W584" s="74"/>
      <c r="X584" s="74"/>
      <c r="Y584" s="74"/>
      <c r="Z584" s="74"/>
    </row>
    <row r="585">
      <c r="A585" s="74"/>
      <c r="B585" s="73"/>
      <c r="C585" s="73"/>
      <c r="D585" s="73"/>
      <c r="E585" s="73"/>
      <c r="F585" s="74"/>
      <c r="G585" s="74"/>
      <c r="H585" s="74"/>
      <c r="I585" s="74"/>
      <c r="J585" s="74"/>
      <c r="K585" s="74"/>
      <c r="L585" s="74"/>
      <c r="M585" s="74"/>
      <c r="N585" s="74"/>
      <c r="O585" s="74"/>
      <c r="P585" s="74"/>
      <c r="Q585" s="74"/>
      <c r="R585" s="74"/>
      <c r="S585" s="74"/>
      <c r="T585" s="74"/>
      <c r="U585" s="74"/>
      <c r="V585" s="74"/>
      <c r="W585" s="74"/>
      <c r="X585" s="74"/>
      <c r="Y585" s="74"/>
      <c r="Z585" s="74"/>
    </row>
    <row r="586">
      <c r="A586" s="74"/>
      <c r="B586" s="73"/>
      <c r="C586" s="73"/>
      <c r="D586" s="73"/>
      <c r="E586" s="73"/>
      <c r="F586" s="74"/>
      <c r="G586" s="74"/>
      <c r="H586" s="74"/>
      <c r="I586" s="74"/>
      <c r="J586" s="74"/>
      <c r="K586" s="74"/>
      <c r="L586" s="74"/>
      <c r="M586" s="74"/>
      <c r="N586" s="74"/>
      <c r="O586" s="74"/>
      <c r="P586" s="74"/>
      <c r="Q586" s="74"/>
      <c r="R586" s="74"/>
      <c r="S586" s="74"/>
      <c r="T586" s="74"/>
      <c r="U586" s="74"/>
      <c r="V586" s="74"/>
      <c r="W586" s="74"/>
      <c r="X586" s="74"/>
      <c r="Y586" s="74"/>
      <c r="Z586" s="74"/>
    </row>
    <row r="587">
      <c r="A587" s="74"/>
      <c r="B587" s="73"/>
      <c r="C587" s="73"/>
      <c r="D587" s="73"/>
      <c r="E587" s="73"/>
      <c r="F587" s="74"/>
      <c r="G587" s="74"/>
      <c r="H587" s="74"/>
      <c r="I587" s="74"/>
      <c r="J587" s="74"/>
      <c r="K587" s="74"/>
      <c r="L587" s="74"/>
      <c r="M587" s="74"/>
      <c r="N587" s="74"/>
      <c r="O587" s="74"/>
      <c r="P587" s="74"/>
      <c r="Q587" s="74"/>
      <c r="R587" s="74"/>
      <c r="S587" s="74"/>
      <c r="T587" s="74"/>
      <c r="U587" s="74"/>
      <c r="V587" s="74"/>
      <c r="W587" s="74"/>
      <c r="X587" s="74"/>
      <c r="Y587" s="74"/>
      <c r="Z587" s="74"/>
    </row>
    <row r="588">
      <c r="A588" s="74"/>
      <c r="B588" s="73"/>
      <c r="C588" s="73"/>
      <c r="D588" s="73"/>
      <c r="E588" s="73"/>
      <c r="F588" s="74"/>
      <c r="G588" s="74"/>
      <c r="H588" s="74"/>
      <c r="I588" s="74"/>
      <c r="J588" s="74"/>
      <c r="K588" s="74"/>
      <c r="L588" s="74"/>
      <c r="M588" s="74"/>
      <c r="N588" s="74"/>
      <c r="O588" s="74"/>
      <c r="P588" s="74"/>
      <c r="Q588" s="74"/>
      <c r="R588" s="74"/>
      <c r="S588" s="74"/>
      <c r="T588" s="74"/>
      <c r="U588" s="74"/>
      <c r="V588" s="74"/>
      <c r="W588" s="74"/>
      <c r="X588" s="74"/>
      <c r="Y588" s="74"/>
      <c r="Z588" s="74"/>
    </row>
    <row r="589">
      <c r="A589" s="74"/>
      <c r="B589" s="73"/>
      <c r="C589" s="73"/>
      <c r="D589" s="73"/>
      <c r="E589" s="73"/>
      <c r="F589" s="74"/>
      <c r="G589" s="74"/>
      <c r="H589" s="74"/>
      <c r="I589" s="74"/>
      <c r="J589" s="74"/>
      <c r="K589" s="74"/>
      <c r="L589" s="74"/>
      <c r="M589" s="74"/>
      <c r="N589" s="74"/>
      <c r="O589" s="74"/>
      <c r="P589" s="74"/>
      <c r="Q589" s="74"/>
      <c r="R589" s="74"/>
      <c r="S589" s="74"/>
      <c r="T589" s="74"/>
      <c r="U589" s="74"/>
      <c r="V589" s="74"/>
      <c r="W589" s="74"/>
      <c r="X589" s="74"/>
      <c r="Y589" s="74"/>
      <c r="Z589" s="74"/>
    </row>
    <row r="590">
      <c r="A590" s="74"/>
      <c r="B590" s="73"/>
      <c r="C590" s="73"/>
      <c r="D590" s="73"/>
      <c r="E590" s="73"/>
      <c r="F590" s="74"/>
      <c r="G590" s="74"/>
      <c r="H590" s="74"/>
      <c r="I590" s="74"/>
      <c r="J590" s="74"/>
      <c r="K590" s="74"/>
      <c r="L590" s="74"/>
      <c r="M590" s="74"/>
      <c r="N590" s="74"/>
      <c r="O590" s="74"/>
      <c r="P590" s="74"/>
      <c r="Q590" s="74"/>
      <c r="R590" s="74"/>
      <c r="S590" s="74"/>
      <c r="T590" s="74"/>
      <c r="U590" s="74"/>
      <c r="V590" s="74"/>
      <c r="W590" s="74"/>
      <c r="X590" s="74"/>
      <c r="Y590" s="74"/>
      <c r="Z590" s="74"/>
    </row>
    <row r="591">
      <c r="A591" s="74"/>
      <c r="B591" s="73"/>
      <c r="C591" s="73"/>
      <c r="D591" s="73"/>
      <c r="E591" s="73"/>
      <c r="F591" s="74"/>
      <c r="G591" s="74"/>
      <c r="H591" s="74"/>
      <c r="I591" s="74"/>
      <c r="J591" s="74"/>
      <c r="K591" s="74"/>
      <c r="L591" s="74"/>
      <c r="M591" s="74"/>
      <c r="N591" s="74"/>
      <c r="O591" s="74"/>
      <c r="P591" s="74"/>
      <c r="Q591" s="74"/>
      <c r="R591" s="74"/>
      <c r="S591" s="74"/>
      <c r="T591" s="74"/>
      <c r="U591" s="74"/>
      <c r="V591" s="74"/>
      <c r="W591" s="74"/>
      <c r="X591" s="74"/>
      <c r="Y591" s="74"/>
      <c r="Z591" s="74"/>
    </row>
    <row r="592">
      <c r="A592" s="74"/>
      <c r="B592" s="73"/>
      <c r="C592" s="73"/>
      <c r="D592" s="73"/>
      <c r="E592" s="73"/>
      <c r="F592" s="74"/>
      <c r="G592" s="74"/>
      <c r="H592" s="74"/>
      <c r="I592" s="74"/>
      <c r="J592" s="74"/>
      <c r="K592" s="74"/>
      <c r="L592" s="74"/>
      <c r="M592" s="74"/>
      <c r="N592" s="74"/>
      <c r="O592" s="74"/>
      <c r="P592" s="74"/>
      <c r="Q592" s="74"/>
      <c r="R592" s="74"/>
      <c r="S592" s="74"/>
      <c r="T592" s="74"/>
      <c r="U592" s="74"/>
      <c r="V592" s="74"/>
      <c r="W592" s="74"/>
      <c r="X592" s="74"/>
      <c r="Y592" s="74"/>
      <c r="Z592" s="74"/>
    </row>
    <row r="593">
      <c r="A593" s="74"/>
      <c r="B593" s="73"/>
      <c r="C593" s="73"/>
      <c r="D593" s="73"/>
      <c r="E593" s="73"/>
      <c r="F593" s="74"/>
      <c r="G593" s="74"/>
      <c r="H593" s="74"/>
      <c r="I593" s="74"/>
      <c r="J593" s="74"/>
      <c r="K593" s="74"/>
      <c r="L593" s="74"/>
      <c r="M593" s="74"/>
      <c r="N593" s="74"/>
      <c r="O593" s="74"/>
      <c r="P593" s="74"/>
      <c r="Q593" s="74"/>
      <c r="R593" s="74"/>
      <c r="S593" s="74"/>
      <c r="T593" s="74"/>
      <c r="U593" s="74"/>
      <c r="V593" s="74"/>
      <c r="W593" s="74"/>
      <c r="X593" s="74"/>
      <c r="Y593" s="74"/>
      <c r="Z593" s="74"/>
    </row>
    <row r="594">
      <c r="A594" s="74"/>
      <c r="B594" s="73"/>
      <c r="C594" s="73"/>
      <c r="D594" s="73"/>
      <c r="E594" s="73"/>
      <c r="F594" s="74"/>
      <c r="G594" s="74"/>
      <c r="H594" s="74"/>
      <c r="I594" s="74"/>
      <c r="J594" s="74"/>
      <c r="K594" s="74"/>
      <c r="L594" s="74"/>
      <c r="M594" s="74"/>
      <c r="N594" s="74"/>
      <c r="O594" s="74"/>
      <c r="P594" s="74"/>
      <c r="Q594" s="74"/>
      <c r="R594" s="74"/>
      <c r="S594" s="74"/>
      <c r="T594" s="74"/>
      <c r="U594" s="74"/>
      <c r="V594" s="74"/>
      <c r="W594" s="74"/>
      <c r="X594" s="74"/>
      <c r="Y594" s="74"/>
      <c r="Z594" s="74"/>
    </row>
    <row r="595">
      <c r="A595" s="74"/>
      <c r="B595" s="73"/>
      <c r="C595" s="73"/>
      <c r="D595" s="73"/>
      <c r="E595" s="73"/>
      <c r="F595" s="74"/>
      <c r="G595" s="74"/>
      <c r="H595" s="74"/>
      <c r="I595" s="74"/>
      <c r="J595" s="74"/>
      <c r="K595" s="74"/>
      <c r="L595" s="74"/>
      <c r="M595" s="74"/>
      <c r="N595" s="74"/>
      <c r="O595" s="74"/>
      <c r="P595" s="74"/>
      <c r="Q595" s="74"/>
      <c r="R595" s="74"/>
      <c r="S595" s="74"/>
      <c r="T595" s="74"/>
      <c r="U595" s="74"/>
      <c r="V595" s="74"/>
      <c r="W595" s="74"/>
      <c r="X595" s="74"/>
      <c r="Y595" s="74"/>
      <c r="Z595" s="74"/>
    </row>
    <row r="596">
      <c r="A596" s="74"/>
      <c r="B596" s="73"/>
      <c r="C596" s="73"/>
      <c r="D596" s="73"/>
      <c r="E596" s="73"/>
      <c r="F596" s="74"/>
      <c r="G596" s="74"/>
      <c r="H596" s="74"/>
      <c r="I596" s="74"/>
      <c r="J596" s="74"/>
      <c r="K596" s="74"/>
      <c r="L596" s="74"/>
      <c r="M596" s="74"/>
      <c r="N596" s="74"/>
      <c r="O596" s="74"/>
      <c r="P596" s="74"/>
      <c r="Q596" s="74"/>
      <c r="R596" s="74"/>
      <c r="S596" s="74"/>
      <c r="T596" s="74"/>
      <c r="U596" s="74"/>
      <c r="V596" s="74"/>
      <c r="W596" s="74"/>
      <c r="X596" s="74"/>
      <c r="Y596" s="74"/>
      <c r="Z596" s="74"/>
    </row>
    <row r="597">
      <c r="A597" s="74"/>
      <c r="B597" s="73"/>
      <c r="C597" s="73"/>
      <c r="D597" s="73"/>
      <c r="E597" s="73"/>
      <c r="F597" s="74"/>
      <c r="G597" s="74"/>
      <c r="H597" s="74"/>
      <c r="I597" s="74"/>
      <c r="J597" s="74"/>
      <c r="K597" s="74"/>
      <c r="L597" s="74"/>
      <c r="M597" s="74"/>
      <c r="N597" s="74"/>
      <c r="O597" s="74"/>
      <c r="P597" s="74"/>
      <c r="Q597" s="74"/>
      <c r="R597" s="74"/>
      <c r="S597" s="74"/>
      <c r="T597" s="74"/>
      <c r="U597" s="74"/>
      <c r="V597" s="74"/>
      <c r="W597" s="74"/>
      <c r="X597" s="74"/>
      <c r="Y597" s="74"/>
      <c r="Z597" s="74"/>
    </row>
    <row r="598">
      <c r="A598" s="74"/>
      <c r="B598" s="73"/>
      <c r="C598" s="73"/>
      <c r="D598" s="73"/>
      <c r="E598" s="73"/>
      <c r="F598" s="74"/>
      <c r="G598" s="74"/>
      <c r="H598" s="74"/>
      <c r="I598" s="74"/>
      <c r="J598" s="74"/>
      <c r="K598" s="74"/>
      <c r="L598" s="74"/>
      <c r="M598" s="74"/>
      <c r="N598" s="74"/>
      <c r="O598" s="74"/>
      <c r="P598" s="74"/>
      <c r="Q598" s="74"/>
      <c r="R598" s="74"/>
      <c r="S598" s="74"/>
      <c r="T598" s="74"/>
      <c r="U598" s="74"/>
      <c r="V598" s="74"/>
      <c r="W598" s="74"/>
      <c r="X598" s="74"/>
      <c r="Y598" s="74"/>
      <c r="Z598" s="74"/>
    </row>
    <row r="599">
      <c r="A599" s="74"/>
      <c r="B599" s="73"/>
      <c r="C599" s="73"/>
      <c r="D599" s="73"/>
      <c r="E599" s="73"/>
      <c r="F599" s="74"/>
      <c r="G599" s="74"/>
      <c r="H599" s="74"/>
      <c r="I599" s="74"/>
      <c r="J599" s="74"/>
      <c r="K599" s="74"/>
      <c r="L599" s="74"/>
      <c r="M599" s="74"/>
      <c r="N599" s="74"/>
      <c r="O599" s="74"/>
      <c r="P599" s="74"/>
      <c r="Q599" s="74"/>
      <c r="R599" s="74"/>
      <c r="S599" s="74"/>
      <c r="T599" s="74"/>
      <c r="U599" s="74"/>
      <c r="V599" s="74"/>
      <c r="W599" s="74"/>
      <c r="X599" s="74"/>
      <c r="Y599" s="74"/>
      <c r="Z599" s="74"/>
    </row>
    <row r="600">
      <c r="A600" s="74"/>
      <c r="B600" s="73"/>
      <c r="C600" s="73"/>
      <c r="D600" s="73"/>
      <c r="E600" s="73"/>
      <c r="F600" s="74"/>
      <c r="G600" s="74"/>
      <c r="H600" s="74"/>
      <c r="I600" s="74"/>
      <c r="J600" s="74"/>
      <c r="K600" s="74"/>
      <c r="L600" s="74"/>
      <c r="M600" s="74"/>
      <c r="N600" s="74"/>
      <c r="O600" s="74"/>
      <c r="P600" s="74"/>
      <c r="Q600" s="74"/>
      <c r="R600" s="74"/>
      <c r="S600" s="74"/>
      <c r="T600" s="74"/>
      <c r="U600" s="74"/>
      <c r="V600" s="74"/>
      <c r="W600" s="74"/>
      <c r="X600" s="74"/>
      <c r="Y600" s="74"/>
      <c r="Z600" s="74"/>
    </row>
    <row r="601">
      <c r="A601" s="74"/>
      <c r="B601" s="73"/>
      <c r="C601" s="73"/>
      <c r="D601" s="73"/>
      <c r="E601" s="73"/>
      <c r="F601" s="74"/>
      <c r="G601" s="74"/>
      <c r="H601" s="74"/>
      <c r="I601" s="74"/>
      <c r="J601" s="74"/>
      <c r="K601" s="74"/>
      <c r="L601" s="74"/>
      <c r="M601" s="74"/>
      <c r="N601" s="74"/>
      <c r="O601" s="74"/>
      <c r="P601" s="74"/>
      <c r="Q601" s="74"/>
      <c r="R601" s="74"/>
      <c r="S601" s="74"/>
      <c r="T601" s="74"/>
      <c r="U601" s="74"/>
      <c r="V601" s="74"/>
      <c r="W601" s="74"/>
      <c r="X601" s="74"/>
      <c r="Y601" s="74"/>
      <c r="Z601" s="74"/>
    </row>
    <row r="602">
      <c r="A602" s="74"/>
      <c r="B602" s="73"/>
      <c r="C602" s="73"/>
      <c r="D602" s="73"/>
      <c r="E602" s="73"/>
      <c r="F602" s="74"/>
      <c r="G602" s="74"/>
      <c r="H602" s="74"/>
      <c r="I602" s="74"/>
      <c r="J602" s="74"/>
      <c r="K602" s="74"/>
      <c r="L602" s="74"/>
      <c r="M602" s="74"/>
      <c r="N602" s="74"/>
      <c r="O602" s="74"/>
      <c r="P602" s="74"/>
      <c r="Q602" s="74"/>
      <c r="R602" s="74"/>
      <c r="S602" s="74"/>
      <c r="T602" s="74"/>
      <c r="U602" s="74"/>
      <c r="V602" s="74"/>
      <c r="W602" s="74"/>
      <c r="X602" s="74"/>
      <c r="Y602" s="74"/>
      <c r="Z602" s="74"/>
    </row>
    <row r="603">
      <c r="A603" s="74"/>
      <c r="B603" s="73"/>
      <c r="C603" s="73"/>
      <c r="D603" s="73"/>
      <c r="E603" s="73"/>
      <c r="F603" s="74"/>
      <c r="G603" s="74"/>
      <c r="H603" s="74"/>
      <c r="I603" s="74"/>
      <c r="J603" s="74"/>
      <c r="K603" s="74"/>
      <c r="L603" s="74"/>
      <c r="M603" s="74"/>
      <c r="N603" s="74"/>
      <c r="O603" s="74"/>
      <c r="P603" s="74"/>
      <c r="Q603" s="74"/>
      <c r="R603" s="74"/>
      <c r="S603" s="74"/>
      <c r="T603" s="74"/>
      <c r="U603" s="74"/>
      <c r="V603" s="74"/>
      <c r="W603" s="74"/>
      <c r="X603" s="74"/>
      <c r="Y603" s="74"/>
      <c r="Z603" s="74"/>
    </row>
    <row r="604">
      <c r="A604" s="74"/>
      <c r="B604" s="73"/>
      <c r="C604" s="73"/>
      <c r="D604" s="73"/>
      <c r="E604" s="73"/>
      <c r="F604" s="74"/>
      <c r="G604" s="74"/>
      <c r="H604" s="74"/>
      <c r="I604" s="74"/>
      <c r="J604" s="74"/>
      <c r="K604" s="74"/>
      <c r="L604" s="74"/>
      <c r="M604" s="74"/>
      <c r="N604" s="74"/>
      <c r="O604" s="74"/>
      <c r="P604" s="74"/>
      <c r="Q604" s="74"/>
      <c r="R604" s="74"/>
      <c r="S604" s="74"/>
      <c r="T604" s="74"/>
      <c r="U604" s="74"/>
      <c r="V604" s="74"/>
      <c r="W604" s="74"/>
      <c r="X604" s="74"/>
      <c r="Y604" s="74"/>
      <c r="Z604" s="74"/>
    </row>
    <row r="605">
      <c r="A605" s="74"/>
      <c r="B605" s="73"/>
      <c r="C605" s="73"/>
      <c r="D605" s="73"/>
      <c r="E605" s="73"/>
      <c r="F605" s="74"/>
      <c r="G605" s="74"/>
      <c r="H605" s="74"/>
      <c r="I605" s="74"/>
      <c r="J605" s="74"/>
      <c r="K605" s="74"/>
      <c r="L605" s="74"/>
      <c r="M605" s="74"/>
      <c r="N605" s="74"/>
      <c r="O605" s="74"/>
      <c r="P605" s="74"/>
      <c r="Q605" s="74"/>
      <c r="R605" s="74"/>
      <c r="S605" s="74"/>
      <c r="T605" s="74"/>
      <c r="U605" s="74"/>
      <c r="V605" s="74"/>
      <c r="W605" s="74"/>
      <c r="X605" s="74"/>
      <c r="Y605" s="74"/>
      <c r="Z605" s="74"/>
    </row>
    <row r="606">
      <c r="A606" s="74"/>
      <c r="B606" s="73"/>
      <c r="C606" s="73"/>
      <c r="D606" s="73"/>
      <c r="E606" s="73"/>
      <c r="F606" s="74"/>
      <c r="G606" s="74"/>
      <c r="H606" s="74"/>
      <c r="I606" s="74"/>
      <c r="J606" s="74"/>
      <c r="K606" s="74"/>
      <c r="L606" s="74"/>
      <c r="M606" s="74"/>
      <c r="N606" s="74"/>
      <c r="O606" s="74"/>
      <c r="P606" s="74"/>
      <c r="Q606" s="74"/>
      <c r="R606" s="74"/>
      <c r="S606" s="74"/>
      <c r="T606" s="74"/>
      <c r="U606" s="74"/>
      <c r="V606" s="74"/>
      <c r="W606" s="74"/>
      <c r="X606" s="74"/>
      <c r="Y606" s="74"/>
      <c r="Z606" s="74"/>
    </row>
    <row r="607">
      <c r="A607" s="74"/>
      <c r="B607" s="73"/>
      <c r="C607" s="73"/>
      <c r="D607" s="73"/>
      <c r="E607" s="73"/>
      <c r="F607" s="74"/>
      <c r="G607" s="74"/>
      <c r="H607" s="74"/>
      <c r="I607" s="74"/>
      <c r="J607" s="74"/>
      <c r="K607" s="74"/>
      <c r="L607" s="74"/>
      <c r="M607" s="74"/>
      <c r="N607" s="74"/>
      <c r="O607" s="74"/>
      <c r="P607" s="74"/>
      <c r="Q607" s="74"/>
      <c r="R607" s="74"/>
      <c r="S607" s="74"/>
      <c r="T607" s="74"/>
      <c r="U607" s="74"/>
      <c r="V607" s="74"/>
      <c r="W607" s="74"/>
      <c r="X607" s="74"/>
      <c r="Y607" s="74"/>
      <c r="Z607" s="74"/>
    </row>
    <row r="608">
      <c r="A608" s="74"/>
      <c r="B608" s="73"/>
      <c r="C608" s="73"/>
      <c r="D608" s="73"/>
      <c r="E608" s="73"/>
      <c r="F608" s="74"/>
      <c r="G608" s="74"/>
      <c r="H608" s="74"/>
      <c r="I608" s="74"/>
      <c r="J608" s="74"/>
      <c r="K608" s="74"/>
      <c r="L608" s="74"/>
      <c r="M608" s="74"/>
      <c r="N608" s="74"/>
      <c r="O608" s="74"/>
      <c r="P608" s="74"/>
      <c r="Q608" s="74"/>
      <c r="R608" s="74"/>
      <c r="S608" s="74"/>
      <c r="T608" s="74"/>
      <c r="U608" s="74"/>
      <c r="V608" s="74"/>
      <c r="W608" s="74"/>
      <c r="X608" s="74"/>
      <c r="Y608" s="74"/>
      <c r="Z608" s="74"/>
    </row>
    <row r="609">
      <c r="A609" s="74"/>
      <c r="B609" s="73"/>
      <c r="C609" s="73"/>
      <c r="D609" s="73"/>
      <c r="E609" s="73"/>
      <c r="F609" s="74"/>
      <c r="G609" s="74"/>
      <c r="H609" s="74"/>
      <c r="I609" s="74"/>
      <c r="J609" s="74"/>
      <c r="K609" s="74"/>
      <c r="L609" s="74"/>
      <c r="M609" s="74"/>
      <c r="N609" s="74"/>
      <c r="O609" s="74"/>
      <c r="P609" s="74"/>
      <c r="Q609" s="74"/>
      <c r="R609" s="74"/>
      <c r="S609" s="74"/>
      <c r="T609" s="74"/>
      <c r="U609" s="74"/>
      <c r="V609" s="74"/>
      <c r="W609" s="74"/>
      <c r="X609" s="74"/>
      <c r="Y609" s="74"/>
      <c r="Z609" s="74"/>
    </row>
    <row r="610">
      <c r="A610" s="74"/>
      <c r="B610" s="73"/>
      <c r="C610" s="73"/>
      <c r="D610" s="73"/>
      <c r="E610" s="73"/>
      <c r="F610" s="74"/>
      <c r="G610" s="74"/>
      <c r="H610" s="74"/>
      <c r="I610" s="74"/>
      <c r="J610" s="74"/>
      <c r="K610" s="74"/>
      <c r="L610" s="74"/>
      <c r="M610" s="74"/>
      <c r="N610" s="74"/>
      <c r="O610" s="74"/>
      <c r="P610" s="74"/>
      <c r="Q610" s="74"/>
      <c r="R610" s="74"/>
      <c r="S610" s="74"/>
      <c r="T610" s="74"/>
      <c r="U610" s="74"/>
      <c r="V610" s="74"/>
      <c r="W610" s="74"/>
      <c r="X610" s="74"/>
      <c r="Y610" s="74"/>
      <c r="Z610" s="74"/>
    </row>
    <row r="611">
      <c r="A611" s="74"/>
      <c r="B611" s="73"/>
      <c r="C611" s="73"/>
      <c r="D611" s="73"/>
      <c r="E611" s="73"/>
      <c r="F611" s="74"/>
      <c r="G611" s="74"/>
      <c r="H611" s="74"/>
      <c r="I611" s="74"/>
      <c r="J611" s="74"/>
      <c r="K611" s="74"/>
      <c r="L611" s="74"/>
      <c r="M611" s="74"/>
      <c r="N611" s="74"/>
      <c r="O611" s="74"/>
      <c r="P611" s="74"/>
      <c r="Q611" s="74"/>
      <c r="R611" s="74"/>
      <c r="S611" s="74"/>
      <c r="T611" s="74"/>
      <c r="U611" s="74"/>
      <c r="V611" s="74"/>
      <c r="W611" s="74"/>
      <c r="X611" s="74"/>
      <c r="Y611" s="74"/>
      <c r="Z611" s="74"/>
    </row>
    <row r="612">
      <c r="A612" s="74"/>
      <c r="B612" s="73"/>
      <c r="C612" s="73"/>
      <c r="D612" s="73"/>
      <c r="E612" s="73"/>
      <c r="F612" s="74"/>
      <c r="G612" s="74"/>
      <c r="H612" s="74"/>
      <c r="I612" s="74"/>
      <c r="J612" s="74"/>
      <c r="K612" s="74"/>
      <c r="L612" s="74"/>
      <c r="M612" s="74"/>
      <c r="N612" s="74"/>
      <c r="O612" s="74"/>
      <c r="P612" s="74"/>
      <c r="Q612" s="74"/>
      <c r="R612" s="74"/>
      <c r="S612" s="74"/>
      <c r="T612" s="74"/>
      <c r="U612" s="74"/>
      <c r="V612" s="74"/>
      <c r="W612" s="74"/>
      <c r="X612" s="74"/>
      <c r="Y612" s="74"/>
      <c r="Z612" s="74"/>
    </row>
    <row r="613">
      <c r="A613" s="74"/>
      <c r="B613" s="73"/>
      <c r="C613" s="73"/>
      <c r="D613" s="73"/>
      <c r="E613" s="73"/>
      <c r="F613" s="74"/>
      <c r="G613" s="74"/>
      <c r="H613" s="74"/>
      <c r="I613" s="74"/>
      <c r="J613" s="74"/>
      <c r="K613" s="74"/>
      <c r="L613" s="74"/>
      <c r="M613" s="74"/>
      <c r="N613" s="74"/>
      <c r="O613" s="74"/>
      <c r="P613" s="74"/>
      <c r="Q613" s="74"/>
      <c r="R613" s="74"/>
      <c r="S613" s="74"/>
      <c r="T613" s="74"/>
      <c r="U613" s="74"/>
      <c r="V613" s="74"/>
      <c r="W613" s="74"/>
      <c r="X613" s="74"/>
      <c r="Y613" s="74"/>
      <c r="Z613" s="74"/>
    </row>
    <row r="614">
      <c r="A614" s="74"/>
      <c r="B614" s="73"/>
      <c r="C614" s="73"/>
      <c r="D614" s="73"/>
      <c r="E614" s="73"/>
      <c r="F614" s="74"/>
      <c r="G614" s="74"/>
      <c r="H614" s="74"/>
      <c r="I614" s="74"/>
      <c r="J614" s="74"/>
      <c r="K614" s="74"/>
      <c r="L614" s="74"/>
      <c r="M614" s="74"/>
      <c r="N614" s="74"/>
      <c r="O614" s="74"/>
      <c r="P614" s="74"/>
      <c r="Q614" s="74"/>
      <c r="R614" s="74"/>
      <c r="S614" s="74"/>
      <c r="T614" s="74"/>
      <c r="U614" s="74"/>
      <c r="V614" s="74"/>
      <c r="W614" s="74"/>
      <c r="X614" s="74"/>
      <c r="Y614" s="74"/>
      <c r="Z614" s="74"/>
    </row>
    <row r="615">
      <c r="A615" s="74"/>
      <c r="B615" s="73"/>
      <c r="C615" s="73"/>
      <c r="D615" s="73"/>
      <c r="E615" s="73"/>
      <c r="F615" s="74"/>
      <c r="G615" s="74"/>
      <c r="H615" s="74"/>
      <c r="I615" s="74"/>
      <c r="J615" s="74"/>
      <c r="K615" s="74"/>
      <c r="L615" s="74"/>
      <c r="M615" s="74"/>
      <c r="N615" s="74"/>
      <c r="O615" s="74"/>
      <c r="P615" s="74"/>
      <c r="Q615" s="74"/>
      <c r="R615" s="74"/>
      <c r="S615" s="74"/>
      <c r="T615" s="74"/>
      <c r="U615" s="74"/>
      <c r="V615" s="74"/>
      <c r="W615" s="74"/>
      <c r="X615" s="74"/>
      <c r="Y615" s="74"/>
      <c r="Z615" s="74"/>
    </row>
    <row r="616">
      <c r="A616" s="74"/>
      <c r="B616" s="73"/>
      <c r="C616" s="73"/>
      <c r="D616" s="73"/>
      <c r="E616" s="73"/>
      <c r="F616" s="74"/>
      <c r="G616" s="74"/>
      <c r="H616" s="74"/>
      <c r="I616" s="74"/>
      <c r="J616" s="74"/>
      <c r="K616" s="74"/>
      <c r="L616" s="74"/>
      <c r="M616" s="74"/>
      <c r="N616" s="74"/>
      <c r="O616" s="74"/>
      <c r="P616" s="74"/>
      <c r="Q616" s="74"/>
      <c r="R616" s="74"/>
      <c r="S616" s="74"/>
      <c r="T616" s="74"/>
      <c r="U616" s="74"/>
      <c r="V616" s="74"/>
      <c r="W616" s="74"/>
      <c r="X616" s="74"/>
      <c r="Y616" s="74"/>
      <c r="Z616" s="74"/>
    </row>
    <row r="617">
      <c r="A617" s="74"/>
      <c r="B617" s="73"/>
      <c r="C617" s="73"/>
      <c r="D617" s="73"/>
      <c r="E617" s="73"/>
      <c r="F617" s="74"/>
      <c r="G617" s="74"/>
      <c r="H617" s="74"/>
      <c r="I617" s="74"/>
      <c r="J617" s="74"/>
      <c r="K617" s="74"/>
      <c r="L617" s="74"/>
      <c r="M617" s="74"/>
      <c r="N617" s="74"/>
      <c r="O617" s="74"/>
      <c r="P617" s="74"/>
      <c r="Q617" s="74"/>
      <c r="R617" s="74"/>
      <c r="S617" s="74"/>
      <c r="T617" s="74"/>
      <c r="U617" s="74"/>
      <c r="V617" s="74"/>
      <c r="W617" s="74"/>
      <c r="X617" s="74"/>
      <c r="Y617" s="74"/>
      <c r="Z617" s="74"/>
    </row>
    <row r="618">
      <c r="A618" s="74"/>
      <c r="B618" s="73"/>
      <c r="C618" s="73"/>
      <c r="D618" s="73"/>
      <c r="E618" s="73"/>
      <c r="F618" s="74"/>
      <c r="G618" s="74"/>
      <c r="H618" s="74"/>
      <c r="I618" s="74"/>
      <c r="J618" s="74"/>
      <c r="K618" s="74"/>
      <c r="L618" s="74"/>
      <c r="M618" s="74"/>
      <c r="N618" s="74"/>
      <c r="O618" s="74"/>
      <c r="P618" s="74"/>
      <c r="Q618" s="74"/>
      <c r="R618" s="74"/>
      <c r="S618" s="74"/>
      <c r="T618" s="74"/>
      <c r="U618" s="74"/>
      <c r="V618" s="74"/>
      <c r="W618" s="74"/>
      <c r="X618" s="74"/>
      <c r="Y618" s="74"/>
      <c r="Z618" s="74"/>
    </row>
    <row r="619">
      <c r="A619" s="74"/>
      <c r="B619" s="73"/>
      <c r="C619" s="73"/>
      <c r="D619" s="73"/>
      <c r="E619" s="73"/>
      <c r="F619" s="74"/>
      <c r="G619" s="74"/>
      <c r="H619" s="74"/>
      <c r="I619" s="74"/>
      <c r="J619" s="74"/>
      <c r="K619" s="74"/>
      <c r="L619" s="74"/>
      <c r="M619" s="74"/>
      <c r="N619" s="74"/>
      <c r="O619" s="74"/>
      <c r="P619" s="74"/>
      <c r="Q619" s="74"/>
      <c r="R619" s="74"/>
      <c r="S619" s="74"/>
      <c r="T619" s="74"/>
      <c r="U619" s="74"/>
      <c r="V619" s="74"/>
      <c r="W619" s="74"/>
      <c r="X619" s="74"/>
      <c r="Y619" s="74"/>
      <c r="Z619" s="74"/>
    </row>
    <row r="620">
      <c r="A620" s="74"/>
      <c r="B620" s="73"/>
      <c r="C620" s="73"/>
      <c r="D620" s="73"/>
      <c r="E620" s="73"/>
      <c r="F620" s="74"/>
      <c r="G620" s="74"/>
      <c r="H620" s="74"/>
      <c r="I620" s="74"/>
      <c r="J620" s="74"/>
      <c r="K620" s="74"/>
      <c r="L620" s="74"/>
      <c r="M620" s="74"/>
      <c r="N620" s="74"/>
      <c r="O620" s="74"/>
      <c r="P620" s="74"/>
      <c r="Q620" s="74"/>
      <c r="R620" s="74"/>
      <c r="S620" s="74"/>
      <c r="T620" s="74"/>
      <c r="U620" s="74"/>
      <c r="V620" s="74"/>
      <c r="W620" s="74"/>
      <c r="X620" s="74"/>
      <c r="Y620" s="74"/>
      <c r="Z620" s="74"/>
    </row>
    <row r="621">
      <c r="A621" s="74"/>
      <c r="B621" s="73"/>
      <c r="C621" s="73"/>
      <c r="D621" s="73"/>
      <c r="E621" s="73"/>
      <c r="F621" s="74"/>
      <c r="G621" s="74"/>
      <c r="H621" s="74"/>
      <c r="I621" s="74"/>
      <c r="J621" s="74"/>
      <c r="K621" s="74"/>
      <c r="L621" s="74"/>
      <c r="M621" s="74"/>
      <c r="N621" s="74"/>
      <c r="O621" s="74"/>
      <c r="P621" s="74"/>
      <c r="Q621" s="74"/>
      <c r="R621" s="74"/>
      <c r="S621" s="74"/>
      <c r="T621" s="74"/>
      <c r="U621" s="74"/>
      <c r="V621" s="74"/>
      <c r="W621" s="74"/>
      <c r="X621" s="74"/>
      <c r="Y621" s="74"/>
      <c r="Z621" s="74"/>
    </row>
    <row r="622">
      <c r="A622" s="74"/>
      <c r="B622" s="73"/>
      <c r="C622" s="73"/>
      <c r="D622" s="73"/>
      <c r="E622" s="73"/>
      <c r="F622" s="74"/>
      <c r="G622" s="74"/>
      <c r="H622" s="74"/>
      <c r="I622" s="74"/>
      <c r="J622" s="74"/>
      <c r="K622" s="74"/>
      <c r="L622" s="74"/>
      <c r="M622" s="74"/>
      <c r="N622" s="74"/>
      <c r="O622" s="74"/>
      <c r="P622" s="74"/>
      <c r="Q622" s="74"/>
      <c r="R622" s="74"/>
      <c r="S622" s="74"/>
      <c r="T622" s="74"/>
      <c r="U622" s="74"/>
      <c r="V622" s="74"/>
      <c r="W622" s="74"/>
      <c r="X622" s="74"/>
      <c r="Y622" s="74"/>
      <c r="Z622" s="74"/>
    </row>
    <row r="623">
      <c r="A623" s="74"/>
      <c r="B623" s="73"/>
      <c r="C623" s="73"/>
      <c r="D623" s="73"/>
      <c r="E623" s="73"/>
      <c r="F623" s="74"/>
      <c r="G623" s="74"/>
      <c r="H623" s="74"/>
      <c r="I623" s="74"/>
      <c r="J623" s="74"/>
      <c r="K623" s="74"/>
      <c r="L623" s="74"/>
      <c r="M623" s="74"/>
      <c r="N623" s="74"/>
      <c r="O623" s="74"/>
      <c r="P623" s="74"/>
      <c r="Q623" s="74"/>
      <c r="R623" s="74"/>
      <c r="S623" s="74"/>
      <c r="T623" s="74"/>
      <c r="U623" s="74"/>
      <c r="V623" s="74"/>
      <c r="W623" s="74"/>
      <c r="X623" s="74"/>
      <c r="Y623" s="74"/>
      <c r="Z623" s="74"/>
    </row>
    <row r="624">
      <c r="A624" s="74"/>
      <c r="B624" s="73"/>
      <c r="C624" s="73"/>
      <c r="D624" s="73"/>
      <c r="E624" s="73"/>
      <c r="F624" s="74"/>
      <c r="G624" s="74"/>
      <c r="H624" s="74"/>
      <c r="I624" s="74"/>
      <c r="J624" s="74"/>
      <c r="K624" s="74"/>
      <c r="L624" s="74"/>
      <c r="M624" s="74"/>
      <c r="N624" s="74"/>
      <c r="O624" s="74"/>
      <c r="P624" s="74"/>
      <c r="Q624" s="74"/>
      <c r="R624" s="74"/>
      <c r="S624" s="74"/>
      <c r="T624" s="74"/>
      <c r="U624" s="74"/>
      <c r="V624" s="74"/>
      <c r="W624" s="74"/>
      <c r="X624" s="74"/>
      <c r="Y624" s="74"/>
      <c r="Z624" s="74"/>
    </row>
    <row r="625">
      <c r="A625" s="74"/>
      <c r="B625" s="73"/>
      <c r="C625" s="73"/>
      <c r="D625" s="73"/>
      <c r="E625" s="73"/>
      <c r="F625" s="74"/>
      <c r="G625" s="74"/>
      <c r="H625" s="74"/>
      <c r="I625" s="74"/>
      <c r="J625" s="74"/>
      <c r="K625" s="74"/>
      <c r="L625" s="74"/>
      <c r="M625" s="74"/>
      <c r="N625" s="74"/>
      <c r="O625" s="74"/>
      <c r="P625" s="74"/>
      <c r="Q625" s="74"/>
      <c r="R625" s="74"/>
      <c r="S625" s="74"/>
      <c r="T625" s="74"/>
      <c r="U625" s="74"/>
      <c r="V625" s="74"/>
      <c r="W625" s="74"/>
      <c r="X625" s="74"/>
      <c r="Y625" s="74"/>
      <c r="Z625" s="74"/>
    </row>
    <row r="626">
      <c r="A626" s="74"/>
      <c r="B626" s="73"/>
      <c r="C626" s="73"/>
      <c r="D626" s="73"/>
      <c r="E626" s="73"/>
      <c r="F626" s="74"/>
      <c r="G626" s="74"/>
      <c r="H626" s="74"/>
      <c r="I626" s="74"/>
      <c r="J626" s="74"/>
      <c r="K626" s="74"/>
      <c r="L626" s="74"/>
      <c r="M626" s="74"/>
      <c r="N626" s="74"/>
      <c r="O626" s="74"/>
      <c r="P626" s="74"/>
      <c r="Q626" s="74"/>
      <c r="R626" s="74"/>
      <c r="S626" s="74"/>
      <c r="T626" s="74"/>
      <c r="U626" s="74"/>
      <c r="V626" s="74"/>
      <c r="W626" s="74"/>
      <c r="X626" s="74"/>
      <c r="Y626" s="74"/>
      <c r="Z626" s="74"/>
    </row>
    <row r="627">
      <c r="A627" s="74"/>
      <c r="B627" s="73"/>
      <c r="C627" s="73"/>
      <c r="D627" s="73"/>
      <c r="E627" s="73"/>
      <c r="F627" s="74"/>
      <c r="G627" s="74"/>
      <c r="H627" s="74"/>
      <c r="I627" s="74"/>
      <c r="J627" s="74"/>
      <c r="K627" s="74"/>
      <c r="L627" s="74"/>
      <c r="M627" s="74"/>
      <c r="N627" s="74"/>
      <c r="O627" s="74"/>
      <c r="P627" s="74"/>
      <c r="Q627" s="74"/>
      <c r="R627" s="74"/>
      <c r="S627" s="74"/>
      <c r="T627" s="74"/>
      <c r="U627" s="74"/>
      <c r="V627" s="74"/>
      <c r="W627" s="74"/>
      <c r="X627" s="74"/>
      <c r="Y627" s="74"/>
      <c r="Z627" s="74"/>
    </row>
    <row r="628">
      <c r="A628" s="74"/>
      <c r="B628" s="73"/>
      <c r="C628" s="73"/>
      <c r="D628" s="73"/>
      <c r="E628" s="73"/>
      <c r="F628" s="74"/>
      <c r="G628" s="74"/>
      <c r="H628" s="74"/>
      <c r="I628" s="74"/>
      <c r="J628" s="74"/>
      <c r="K628" s="74"/>
      <c r="L628" s="74"/>
      <c r="M628" s="74"/>
      <c r="N628" s="74"/>
      <c r="O628" s="74"/>
      <c r="P628" s="74"/>
      <c r="Q628" s="74"/>
      <c r="R628" s="74"/>
      <c r="S628" s="74"/>
      <c r="T628" s="74"/>
      <c r="U628" s="74"/>
      <c r="V628" s="74"/>
      <c r="W628" s="74"/>
      <c r="X628" s="74"/>
      <c r="Y628" s="74"/>
      <c r="Z628" s="74"/>
    </row>
    <row r="629">
      <c r="A629" s="74"/>
      <c r="B629" s="73"/>
      <c r="C629" s="73"/>
      <c r="D629" s="73"/>
      <c r="E629" s="73"/>
      <c r="F629" s="74"/>
      <c r="G629" s="74"/>
      <c r="H629" s="74"/>
      <c r="I629" s="74"/>
      <c r="J629" s="74"/>
      <c r="K629" s="74"/>
      <c r="L629" s="74"/>
      <c r="M629" s="74"/>
      <c r="N629" s="74"/>
      <c r="O629" s="74"/>
      <c r="P629" s="74"/>
      <c r="Q629" s="74"/>
      <c r="R629" s="74"/>
      <c r="S629" s="74"/>
      <c r="T629" s="74"/>
      <c r="U629" s="74"/>
      <c r="V629" s="74"/>
      <c r="W629" s="74"/>
      <c r="X629" s="74"/>
      <c r="Y629" s="74"/>
      <c r="Z629" s="74"/>
    </row>
    <row r="630">
      <c r="A630" s="74"/>
      <c r="B630" s="73"/>
      <c r="C630" s="73"/>
      <c r="D630" s="73"/>
      <c r="E630" s="73"/>
      <c r="F630" s="74"/>
      <c r="G630" s="74"/>
      <c r="H630" s="74"/>
      <c r="I630" s="74"/>
      <c r="J630" s="74"/>
      <c r="K630" s="74"/>
      <c r="L630" s="74"/>
      <c r="M630" s="74"/>
      <c r="N630" s="74"/>
      <c r="O630" s="74"/>
      <c r="P630" s="74"/>
      <c r="Q630" s="74"/>
      <c r="R630" s="74"/>
      <c r="S630" s="74"/>
      <c r="T630" s="74"/>
      <c r="U630" s="74"/>
      <c r="V630" s="74"/>
      <c r="W630" s="74"/>
      <c r="X630" s="74"/>
      <c r="Y630" s="74"/>
      <c r="Z630" s="74"/>
    </row>
    <row r="631">
      <c r="A631" s="74"/>
      <c r="B631" s="73"/>
      <c r="C631" s="73"/>
      <c r="D631" s="73"/>
      <c r="E631" s="73"/>
      <c r="F631" s="74"/>
      <c r="G631" s="74"/>
      <c r="H631" s="74"/>
      <c r="I631" s="74"/>
      <c r="J631" s="74"/>
      <c r="K631" s="74"/>
      <c r="L631" s="74"/>
      <c r="M631" s="74"/>
      <c r="N631" s="74"/>
      <c r="O631" s="74"/>
      <c r="P631" s="74"/>
      <c r="Q631" s="74"/>
      <c r="R631" s="74"/>
      <c r="S631" s="74"/>
      <c r="T631" s="74"/>
      <c r="U631" s="74"/>
      <c r="V631" s="74"/>
      <c r="W631" s="74"/>
      <c r="X631" s="74"/>
      <c r="Y631" s="74"/>
      <c r="Z631" s="74"/>
    </row>
    <row r="632">
      <c r="A632" s="74"/>
      <c r="B632" s="73"/>
      <c r="C632" s="73"/>
      <c r="D632" s="73"/>
      <c r="E632" s="73"/>
      <c r="F632" s="74"/>
      <c r="G632" s="74"/>
      <c r="H632" s="74"/>
      <c r="I632" s="74"/>
      <c r="J632" s="74"/>
      <c r="K632" s="74"/>
      <c r="L632" s="74"/>
      <c r="M632" s="74"/>
      <c r="N632" s="74"/>
      <c r="O632" s="74"/>
      <c r="P632" s="74"/>
      <c r="Q632" s="74"/>
      <c r="R632" s="74"/>
      <c r="S632" s="74"/>
      <c r="T632" s="74"/>
      <c r="U632" s="74"/>
      <c r="V632" s="74"/>
      <c r="W632" s="74"/>
      <c r="X632" s="74"/>
      <c r="Y632" s="74"/>
      <c r="Z632" s="74"/>
    </row>
    <row r="633">
      <c r="A633" s="74"/>
      <c r="B633" s="73"/>
      <c r="C633" s="73"/>
      <c r="D633" s="73"/>
      <c r="E633" s="73"/>
      <c r="F633" s="74"/>
      <c r="G633" s="74"/>
      <c r="H633" s="74"/>
      <c r="I633" s="74"/>
      <c r="J633" s="74"/>
      <c r="K633" s="74"/>
      <c r="L633" s="74"/>
      <c r="M633" s="74"/>
      <c r="N633" s="74"/>
      <c r="O633" s="74"/>
      <c r="P633" s="74"/>
      <c r="Q633" s="74"/>
      <c r="R633" s="74"/>
      <c r="S633" s="74"/>
      <c r="T633" s="74"/>
      <c r="U633" s="74"/>
      <c r="V633" s="74"/>
      <c r="W633" s="74"/>
      <c r="X633" s="74"/>
      <c r="Y633" s="74"/>
      <c r="Z633" s="74"/>
    </row>
    <row r="634">
      <c r="A634" s="74"/>
      <c r="B634" s="73"/>
      <c r="C634" s="73"/>
      <c r="D634" s="73"/>
      <c r="E634" s="73"/>
      <c r="F634" s="74"/>
      <c r="G634" s="74"/>
      <c r="H634" s="74"/>
      <c r="I634" s="74"/>
      <c r="J634" s="74"/>
      <c r="K634" s="74"/>
      <c r="L634" s="74"/>
      <c r="M634" s="74"/>
      <c r="N634" s="74"/>
      <c r="O634" s="74"/>
      <c r="P634" s="74"/>
      <c r="Q634" s="74"/>
      <c r="R634" s="74"/>
      <c r="S634" s="74"/>
      <c r="T634" s="74"/>
      <c r="U634" s="74"/>
      <c r="V634" s="74"/>
      <c r="W634" s="74"/>
      <c r="X634" s="74"/>
      <c r="Y634" s="74"/>
      <c r="Z634" s="74"/>
    </row>
    <row r="635">
      <c r="A635" s="74"/>
      <c r="B635" s="73"/>
      <c r="C635" s="73"/>
      <c r="D635" s="73"/>
      <c r="E635" s="73"/>
      <c r="F635" s="74"/>
      <c r="G635" s="74"/>
      <c r="H635" s="74"/>
      <c r="I635" s="74"/>
      <c r="J635" s="74"/>
      <c r="K635" s="74"/>
      <c r="L635" s="74"/>
      <c r="M635" s="74"/>
      <c r="N635" s="74"/>
      <c r="O635" s="74"/>
      <c r="P635" s="74"/>
      <c r="Q635" s="74"/>
      <c r="R635" s="74"/>
      <c r="S635" s="74"/>
      <c r="T635" s="74"/>
      <c r="U635" s="74"/>
      <c r="V635" s="74"/>
      <c r="W635" s="74"/>
      <c r="X635" s="74"/>
      <c r="Y635" s="74"/>
      <c r="Z635" s="74"/>
    </row>
    <row r="636">
      <c r="A636" s="74"/>
      <c r="B636" s="73"/>
      <c r="C636" s="73"/>
      <c r="D636" s="73"/>
      <c r="E636" s="73"/>
      <c r="F636" s="74"/>
      <c r="G636" s="74"/>
      <c r="H636" s="74"/>
      <c r="I636" s="74"/>
      <c r="J636" s="74"/>
      <c r="K636" s="74"/>
      <c r="L636" s="74"/>
      <c r="M636" s="74"/>
      <c r="N636" s="74"/>
      <c r="O636" s="74"/>
      <c r="P636" s="74"/>
      <c r="Q636" s="74"/>
      <c r="R636" s="74"/>
      <c r="S636" s="74"/>
      <c r="T636" s="74"/>
      <c r="U636" s="74"/>
      <c r="V636" s="74"/>
      <c r="W636" s="74"/>
      <c r="X636" s="74"/>
      <c r="Y636" s="74"/>
      <c r="Z636" s="74"/>
    </row>
    <row r="637">
      <c r="A637" s="74"/>
      <c r="B637" s="73"/>
      <c r="C637" s="73"/>
      <c r="D637" s="73"/>
      <c r="E637" s="73"/>
      <c r="F637" s="74"/>
      <c r="G637" s="74"/>
      <c r="H637" s="74"/>
      <c r="I637" s="74"/>
      <c r="J637" s="74"/>
      <c r="K637" s="74"/>
      <c r="L637" s="74"/>
      <c r="M637" s="74"/>
      <c r="N637" s="74"/>
      <c r="O637" s="74"/>
      <c r="P637" s="74"/>
      <c r="Q637" s="74"/>
      <c r="R637" s="74"/>
      <c r="S637" s="74"/>
      <c r="T637" s="74"/>
      <c r="U637" s="74"/>
      <c r="V637" s="74"/>
      <c r="W637" s="74"/>
      <c r="X637" s="74"/>
      <c r="Y637" s="74"/>
      <c r="Z637" s="74"/>
    </row>
    <row r="638">
      <c r="A638" s="74"/>
      <c r="B638" s="73"/>
      <c r="C638" s="73"/>
      <c r="D638" s="73"/>
      <c r="E638" s="73"/>
      <c r="F638" s="74"/>
      <c r="G638" s="74"/>
      <c r="H638" s="74"/>
      <c r="I638" s="74"/>
      <c r="J638" s="74"/>
      <c r="K638" s="74"/>
      <c r="L638" s="74"/>
      <c r="M638" s="74"/>
      <c r="N638" s="74"/>
      <c r="O638" s="74"/>
      <c r="P638" s="74"/>
      <c r="Q638" s="74"/>
      <c r="R638" s="74"/>
      <c r="S638" s="74"/>
      <c r="T638" s="74"/>
      <c r="U638" s="74"/>
      <c r="V638" s="74"/>
      <c r="W638" s="74"/>
      <c r="X638" s="74"/>
      <c r="Y638" s="74"/>
      <c r="Z638" s="74"/>
    </row>
    <row r="639">
      <c r="A639" s="74"/>
      <c r="B639" s="73"/>
      <c r="C639" s="73"/>
      <c r="D639" s="73"/>
      <c r="E639" s="73"/>
      <c r="F639" s="74"/>
      <c r="G639" s="74"/>
      <c r="H639" s="74"/>
      <c r="I639" s="74"/>
      <c r="J639" s="74"/>
      <c r="K639" s="74"/>
      <c r="L639" s="74"/>
      <c r="M639" s="74"/>
      <c r="N639" s="74"/>
      <c r="O639" s="74"/>
      <c r="P639" s="74"/>
      <c r="Q639" s="74"/>
      <c r="R639" s="74"/>
      <c r="S639" s="74"/>
      <c r="T639" s="74"/>
      <c r="U639" s="74"/>
      <c r="V639" s="74"/>
      <c r="W639" s="74"/>
      <c r="X639" s="74"/>
      <c r="Y639" s="74"/>
      <c r="Z639" s="74"/>
    </row>
    <row r="640">
      <c r="A640" s="74"/>
      <c r="B640" s="73"/>
      <c r="C640" s="73"/>
      <c r="D640" s="73"/>
      <c r="E640" s="73"/>
      <c r="F640" s="74"/>
      <c r="G640" s="74"/>
      <c r="H640" s="74"/>
      <c r="I640" s="74"/>
      <c r="J640" s="74"/>
      <c r="K640" s="74"/>
      <c r="L640" s="74"/>
      <c r="M640" s="74"/>
      <c r="N640" s="74"/>
      <c r="O640" s="74"/>
      <c r="P640" s="74"/>
      <c r="Q640" s="74"/>
      <c r="R640" s="74"/>
      <c r="S640" s="74"/>
      <c r="T640" s="74"/>
      <c r="U640" s="74"/>
      <c r="V640" s="74"/>
      <c r="W640" s="74"/>
      <c r="X640" s="74"/>
      <c r="Y640" s="74"/>
      <c r="Z640" s="74"/>
    </row>
    <row r="641">
      <c r="A641" s="74"/>
      <c r="B641" s="73"/>
      <c r="C641" s="73"/>
      <c r="D641" s="73"/>
      <c r="E641" s="73"/>
      <c r="F641" s="74"/>
      <c r="G641" s="74"/>
      <c r="H641" s="74"/>
      <c r="I641" s="74"/>
      <c r="J641" s="74"/>
      <c r="K641" s="74"/>
      <c r="L641" s="74"/>
      <c r="M641" s="74"/>
      <c r="N641" s="74"/>
      <c r="O641" s="74"/>
      <c r="P641" s="74"/>
      <c r="Q641" s="74"/>
      <c r="R641" s="74"/>
      <c r="S641" s="74"/>
      <c r="T641" s="74"/>
      <c r="U641" s="74"/>
      <c r="V641" s="74"/>
      <c r="W641" s="74"/>
      <c r="X641" s="74"/>
      <c r="Y641" s="74"/>
      <c r="Z641" s="74"/>
    </row>
    <row r="642">
      <c r="A642" s="74"/>
      <c r="B642" s="73"/>
      <c r="C642" s="73"/>
      <c r="D642" s="73"/>
      <c r="E642" s="73"/>
      <c r="F642" s="74"/>
      <c r="G642" s="74"/>
      <c r="H642" s="74"/>
      <c r="I642" s="74"/>
      <c r="J642" s="74"/>
      <c r="K642" s="74"/>
      <c r="L642" s="74"/>
      <c r="M642" s="74"/>
      <c r="N642" s="74"/>
      <c r="O642" s="74"/>
      <c r="P642" s="74"/>
      <c r="Q642" s="74"/>
      <c r="R642" s="74"/>
      <c r="S642" s="74"/>
      <c r="T642" s="74"/>
      <c r="U642" s="74"/>
      <c r="V642" s="74"/>
      <c r="W642" s="74"/>
      <c r="X642" s="74"/>
      <c r="Y642" s="74"/>
      <c r="Z642" s="74"/>
    </row>
    <row r="643">
      <c r="A643" s="74"/>
      <c r="B643" s="73"/>
      <c r="C643" s="73"/>
      <c r="D643" s="73"/>
      <c r="E643" s="73"/>
      <c r="F643" s="74"/>
      <c r="G643" s="74"/>
      <c r="H643" s="74"/>
      <c r="I643" s="74"/>
      <c r="J643" s="74"/>
      <c r="K643" s="74"/>
      <c r="L643" s="74"/>
      <c r="M643" s="74"/>
      <c r="N643" s="74"/>
      <c r="O643" s="74"/>
      <c r="P643" s="74"/>
      <c r="Q643" s="74"/>
      <c r="R643" s="74"/>
      <c r="S643" s="74"/>
      <c r="T643" s="74"/>
      <c r="U643" s="74"/>
      <c r="V643" s="74"/>
      <c r="W643" s="74"/>
      <c r="X643" s="74"/>
      <c r="Y643" s="74"/>
      <c r="Z643" s="74"/>
    </row>
    <row r="644">
      <c r="A644" s="74"/>
      <c r="B644" s="73"/>
      <c r="C644" s="73"/>
      <c r="D644" s="73"/>
      <c r="E644" s="73"/>
      <c r="F644" s="74"/>
      <c r="G644" s="74"/>
      <c r="H644" s="74"/>
      <c r="I644" s="74"/>
      <c r="J644" s="74"/>
      <c r="K644" s="74"/>
      <c r="L644" s="74"/>
      <c r="M644" s="74"/>
      <c r="N644" s="74"/>
      <c r="O644" s="74"/>
      <c r="P644" s="74"/>
      <c r="Q644" s="74"/>
      <c r="R644" s="74"/>
      <c r="S644" s="74"/>
      <c r="T644" s="74"/>
      <c r="U644" s="74"/>
      <c r="V644" s="74"/>
      <c r="W644" s="74"/>
      <c r="X644" s="74"/>
      <c r="Y644" s="74"/>
      <c r="Z644" s="74"/>
    </row>
    <row r="645">
      <c r="A645" s="74"/>
      <c r="B645" s="73"/>
      <c r="C645" s="73"/>
      <c r="D645" s="73"/>
      <c r="E645" s="73"/>
      <c r="F645" s="74"/>
      <c r="G645" s="74"/>
      <c r="H645" s="74"/>
      <c r="I645" s="74"/>
      <c r="J645" s="74"/>
      <c r="K645" s="74"/>
      <c r="L645" s="74"/>
      <c r="M645" s="74"/>
      <c r="N645" s="74"/>
      <c r="O645" s="74"/>
      <c r="P645" s="74"/>
      <c r="Q645" s="74"/>
      <c r="R645" s="74"/>
      <c r="S645" s="74"/>
      <c r="T645" s="74"/>
      <c r="U645" s="74"/>
      <c r="V645" s="74"/>
      <c r="W645" s="74"/>
      <c r="X645" s="74"/>
      <c r="Y645" s="74"/>
      <c r="Z645" s="74"/>
    </row>
    <row r="646">
      <c r="A646" s="74"/>
      <c r="B646" s="73"/>
      <c r="C646" s="73"/>
      <c r="D646" s="73"/>
      <c r="E646" s="73"/>
      <c r="F646" s="74"/>
      <c r="G646" s="74"/>
      <c r="H646" s="74"/>
      <c r="I646" s="74"/>
      <c r="J646" s="74"/>
      <c r="K646" s="74"/>
      <c r="L646" s="74"/>
      <c r="M646" s="74"/>
      <c r="N646" s="74"/>
      <c r="O646" s="74"/>
      <c r="P646" s="74"/>
      <c r="Q646" s="74"/>
      <c r="R646" s="74"/>
      <c r="S646" s="74"/>
      <c r="T646" s="74"/>
      <c r="U646" s="74"/>
      <c r="V646" s="74"/>
      <c r="W646" s="74"/>
      <c r="X646" s="74"/>
      <c r="Y646" s="74"/>
      <c r="Z646" s="74"/>
    </row>
    <row r="647">
      <c r="A647" s="74"/>
      <c r="B647" s="73"/>
      <c r="C647" s="73"/>
      <c r="D647" s="73"/>
      <c r="E647" s="73"/>
      <c r="F647" s="74"/>
      <c r="G647" s="74"/>
      <c r="H647" s="74"/>
      <c r="I647" s="74"/>
      <c r="J647" s="74"/>
      <c r="K647" s="74"/>
      <c r="L647" s="74"/>
      <c r="M647" s="74"/>
      <c r="N647" s="74"/>
      <c r="O647" s="74"/>
      <c r="P647" s="74"/>
      <c r="Q647" s="74"/>
      <c r="R647" s="74"/>
      <c r="S647" s="74"/>
      <c r="T647" s="74"/>
      <c r="U647" s="74"/>
      <c r="V647" s="74"/>
      <c r="W647" s="74"/>
      <c r="X647" s="74"/>
      <c r="Y647" s="74"/>
      <c r="Z647" s="74"/>
    </row>
    <row r="648">
      <c r="A648" s="74"/>
      <c r="B648" s="73"/>
      <c r="C648" s="73"/>
      <c r="D648" s="73"/>
      <c r="E648" s="73"/>
      <c r="F648" s="74"/>
      <c r="G648" s="74"/>
      <c r="H648" s="74"/>
      <c r="I648" s="74"/>
      <c r="J648" s="74"/>
      <c r="K648" s="74"/>
      <c r="L648" s="74"/>
      <c r="M648" s="74"/>
      <c r="N648" s="74"/>
      <c r="O648" s="74"/>
      <c r="P648" s="74"/>
      <c r="Q648" s="74"/>
      <c r="R648" s="74"/>
      <c r="S648" s="74"/>
      <c r="T648" s="74"/>
      <c r="U648" s="74"/>
      <c r="V648" s="74"/>
      <c r="W648" s="74"/>
      <c r="X648" s="74"/>
      <c r="Y648" s="74"/>
      <c r="Z648" s="74"/>
    </row>
    <row r="649">
      <c r="A649" s="74"/>
      <c r="B649" s="73"/>
      <c r="C649" s="73"/>
      <c r="D649" s="73"/>
      <c r="E649" s="73"/>
      <c r="F649" s="74"/>
      <c r="G649" s="74"/>
      <c r="H649" s="74"/>
      <c r="I649" s="74"/>
      <c r="J649" s="74"/>
      <c r="K649" s="74"/>
      <c r="L649" s="74"/>
      <c r="M649" s="74"/>
      <c r="N649" s="74"/>
      <c r="O649" s="74"/>
      <c r="P649" s="74"/>
      <c r="Q649" s="74"/>
      <c r="R649" s="74"/>
      <c r="S649" s="74"/>
      <c r="T649" s="74"/>
      <c r="U649" s="74"/>
      <c r="V649" s="74"/>
      <c r="W649" s="74"/>
      <c r="X649" s="74"/>
      <c r="Y649" s="74"/>
      <c r="Z649" s="74"/>
    </row>
    <row r="650">
      <c r="A650" s="74"/>
      <c r="B650" s="73"/>
      <c r="C650" s="73"/>
      <c r="D650" s="73"/>
      <c r="E650" s="73"/>
      <c r="F650" s="74"/>
      <c r="G650" s="74"/>
      <c r="H650" s="74"/>
      <c r="I650" s="74"/>
      <c r="J650" s="74"/>
      <c r="K650" s="74"/>
      <c r="L650" s="74"/>
      <c r="M650" s="74"/>
      <c r="N650" s="74"/>
      <c r="O650" s="74"/>
      <c r="P650" s="74"/>
      <c r="Q650" s="74"/>
      <c r="R650" s="74"/>
      <c r="S650" s="74"/>
      <c r="T650" s="74"/>
      <c r="U650" s="74"/>
      <c r="V650" s="74"/>
      <c r="W650" s="74"/>
      <c r="X650" s="74"/>
      <c r="Y650" s="74"/>
      <c r="Z650" s="74"/>
    </row>
    <row r="651">
      <c r="A651" s="74"/>
      <c r="B651" s="73"/>
      <c r="C651" s="73"/>
      <c r="D651" s="73"/>
      <c r="E651" s="73"/>
      <c r="F651" s="74"/>
      <c r="G651" s="74"/>
      <c r="H651" s="74"/>
      <c r="I651" s="74"/>
      <c r="J651" s="74"/>
      <c r="K651" s="74"/>
      <c r="L651" s="74"/>
      <c r="M651" s="74"/>
      <c r="N651" s="74"/>
      <c r="O651" s="74"/>
      <c r="P651" s="74"/>
      <c r="Q651" s="74"/>
      <c r="R651" s="74"/>
      <c r="S651" s="74"/>
      <c r="T651" s="74"/>
      <c r="U651" s="74"/>
      <c r="V651" s="74"/>
      <c r="W651" s="74"/>
      <c r="X651" s="74"/>
      <c r="Y651" s="74"/>
      <c r="Z651" s="74"/>
    </row>
    <row r="652">
      <c r="A652" s="74"/>
      <c r="B652" s="73"/>
      <c r="C652" s="73"/>
      <c r="D652" s="73"/>
      <c r="E652" s="73"/>
      <c r="F652" s="74"/>
      <c r="G652" s="74"/>
      <c r="H652" s="74"/>
      <c r="I652" s="74"/>
      <c r="J652" s="74"/>
      <c r="K652" s="74"/>
      <c r="L652" s="74"/>
      <c r="M652" s="74"/>
      <c r="N652" s="74"/>
      <c r="O652" s="74"/>
      <c r="P652" s="74"/>
      <c r="Q652" s="74"/>
      <c r="R652" s="74"/>
      <c r="S652" s="74"/>
      <c r="T652" s="74"/>
      <c r="U652" s="74"/>
      <c r="V652" s="74"/>
      <c r="W652" s="74"/>
      <c r="X652" s="74"/>
      <c r="Y652" s="74"/>
      <c r="Z652" s="74"/>
    </row>
    <row r="653">
      <c r="A653" s="74"/>
      <c r="B653" s="73"/>
      <c r="C653" s="73"/>
      <c r="D653" s="73"/>
      <c r="E653" s="73"/>
      <c r="F653" s="74"/>
      <c r="G653" s="74"/>
      <c r="H653" s="74"/>
      <c r="I653" s="74"/>
      <c r="J653" s="74"/>
      <c r="K653" s="74"/>
      <c r="L653" s="74"/>
      <c r="M653" s="74"/>
      <c r="N653" s="74"/>
      <c r="O653" s="74"/>
      <c r="P653" s="74"/>
      <c r="Q653" s="74"/>
      <c r="R653" s="74"/>
      <c r="S653" s="74"/>
      <c r="T653" s="74"/>
      <c r="U653" s="74"/>
      <c r="V653" s="74"/>
      <c r="W653" s="74"/>
      <c r="X653" s="74"/>
      <c r="Y653" s="74"/>
      <c r="Z653" s="74"/>
    </row>
    <row r="654">
      <c r="A654" s="74"/>
      <c r="B654" s="73"/>
      <c r="C654" s="73"/>
      <c r="D654" s="73"/>
      <c r="E654" s="73"/>
      <c r="F654" s="74"/>
      <c r="G654" s="74"/>
      <c r="H654" s="74"/>
      <c r="I654" s="74"/>
      <c r="J654" s="74"/>
      <c r="K654" s="74"/>
      <c r="L654" s="74"/>
      <c r="M654" s="74"/>
      <c r="N654" s="74"/>
      <c r="O654" s="74"/>
      <c r="P654" s="74"/>
      <c r="Q654" s="74"/>
      <c r="R654" s="74"/>
      <c r="S654" s="74"/>
      <c r="T654" s="74"/>
      <c r="U654" s="74"/>
      <c r="V654" s="74"/>
      <c r="W654" s="74"/>
      <c r="X654" s="74"/>
      <c r="Y654" s="74"/>
      <c r="Z654" s="74"/>
    </row>
    <row r="655">
      <c r="A655" s="74"/>
      <c r="B655" s="73"/>
      <c r="C655" s="73"/>
      <c r="D655" s="73"/>
      <c r="E655" s="73"/>
      <c r="F655" s="74"/>
      <c r="G655" s="74"/>
      <c r="H655" s="74"/>
      <c r="I655" s="74"/>
      <c r="J655" s="74"/>
      <c r="K655" s="74"/>
      <c r="L655" s="74"/>
      <c r="M655" s="74"/>
      <c r="N655" s="74"/>
      <c r="O655" s="74"/>
      <c r="P655" s="74"/>
      <c r="Q655" s="74"/>
      <c r="R655" s="74"/>
      <c r="S655" s="74"/>
      <c r="T655" s="74"/>
      <c r="U655" s="74"/>
      <c r="V655" s="74"/>
      <c r="W655" s="74"/>
      <c r="X655" s="74"/>
      <c r="Y655" s="74"/>
      <c r="Z655" s="74"/>
    </row>
    <row r="656">
      <c r="A656" s="74"/>
      <c r="B656" s="73"/>
      <c r="C656" s="73"/>
      <c r="D656" s="73"/>
      <c r="E656" s="73"/>
      <c r="F656" s="74"/>
      <c r="G656" s="74"/>
      <c r="H656" s="74"/>
      <c r="I656" s="74"/>
      <c r="J656" s="74"/>
      <c r="K656" s="74"/>
      <c r="L656" s="74"/>
      <c r="M656" s="74"/>
      <c r="N656" s="74"/>
      <c r="O656" s="74"/>
      <c r="P656" s="74"/>
      <c r="Q656" s="74"/>
      <c r="R656" s="74"/>
      <c r="S656" s="74"/>
      <c r="T656" s="74"/>
      <c r="U656" s="74"/>
      <c r="V656" s="74"/>
      <c r="W656" s="74"/>
      <c r="X656" s="74"/>
      <c r="Y656" s="74"/>
      <c r="Z656" s="74"/>
    </row>
    <row r="657">
      <c r="A657" s="74"/>
      <c r="B657" s="73"/>
      <c r="C657" s="73"/>
      <c r="D657" s="73"/>
      <c r="E657" s="73"/>
      <c r="F657" s="74"/>
      <c r="G657" s="74"/>
      <c r="H657" s="74"/>
      <c r="I657" s="74"/>
      <c r="J657" s="74"/>
      <c r="K657" s="74"/>
      <c r="L657" s="74"/>
      <c r="M657" s="74"/>
      <c r="N657" s="74"/>
      <c r="O657" s="74"/>
      <c r="P657" s="74"/>
      <c r="Q657" s="74"/>
      <c r="R657" s="74"/>
      <c r="S657" s="74"/>
      <c r="T657" s="74"/>
      <c r="U657" s="74"/>
      <c r="V657" s="74"/>
      <c r="W657" s="74"/>
      <c r="X657" s="74"/>
      <c r="Y657" s="74"/>
      <c r="Z657" s="74"/>
    </row>
    <row r="658">
      <c r="A658" s="74"/>
      <c r="B658" s="73"/>
      <c r="C658" s="73"/>
      <c r="D658" s="73"/>
      <c r="E658" s="73"/>
      <c r="F658" s="74"/>
      <c r="G658" s="74"/>
      <c r="H658" s="74"/>
      <c r="I658" s="74"/>
      <c r="J658" s="74"/>
      <c r="K658" s="74"/>
      <c r="L658" s="74"/>
      <c r="M658" s="74"/>
      <c r="N658" s="74"/>
      <c r="O658" s="74"/>
      <c r="P658" s="74"/>
      <c r="Q658" s="74"/>
      <c r="R658" s="74"/>
      <c r="S658" s="74"/>
      <c r="T658" s="74"/>
      <c r="U658" s="74"/>
      <c r="V658" s="74"/>
      <c r="W658" s="74"/>
      <c r="X658" s="74"/>
      <c r="Y658" s="74"/>
      <c r="Z658" s="74"/>
    </row>
    <row r="659">
      <c r="A659" s="74"/>
      <c r="B659" s="73"/>
      <c r="C659" s="73"/>
      <c r="D659" s="73"/>
      <c r="E659" s="73"/>
      <c r="F659" s="74"/>
      <c r="G659" s="74"/>
      <c r="H659" s="74"/>
      <c r="I659" s="74"/>
      <c r="J659" s="74"/>
      <c r="K659" s="74"/>
      <c r="L659" s="74"/>
      <c r="M659" s="74"/>
      <c r="N659" s="74"/>
      <c r="O659" s="74"/>
      <c r="P659" s="74"/>
      <c r="Q659" s="74"/>
      <c r="R659" s="74"/>
      <c r="S659" s="74"/>
      <c r="T659" s="74"/>
      <c r="U659" s="74"/>
      <c r="V659" s="74"/>
      <c r="W659" s="74"/>
      <c r="X659" s="74"/>
      <c r="Y659" s="74"/>
      <c r="Z659" s="74"/>
    </row>
    <row r="660">
      <c r="A660" s="74"/>
      <c r="B660" s="73"/>
      <c r="C660" s="73"/>
      <c r="D660" s="73"/>
      <c r="E660" s="73"/>
      <c r="F660" s="74"/>
      <c r="G660" s="74"/>
      <c r="H660" s="74"/>
      <c r="I660" s="74"/>
      <c r="J660" s="74"/>
      <c r="K660" s="74"/>
      <c r="L660" s="74"/>
      <c r="M660" s="74"/>
      <c r="N660" s="74"/>
      <c r="O660" s="74"/>
      <c r="P660" s="74"/>
      <c r="Q660" s="74"/>
      <c r="R660" s="74"/>
      <c r="S660" s="74"/>
      <c r="T660" s="74"/>
      <c r="U660" s="74"/>
      <c r="V660" s="74"/>
      <c r="W660" s="74"/>
      <c r="X660" s="74"/>
      <c r="Y660" s="74"/>
      <c r="Z660" s="74"/>
    </row>
    <row r="661">
      <c r="A661" s="74"/>
      <c r="B661" s="73"/>
      <c r="C661" s="73"/>
      <c r="D661" s="73"/>
      <c r="E661" s="73"/>
      <c r="F661" s="74"/>
      <c r="G661" s="74"/>
      <c r="H661" s="74"/>
      <c r="I661" s="74"/>
      <c r="J661" s="74"/>
      <c r="K661" s="74"/>
      <c r="L661" s="74"/>
      <c r="M661" s="74"/>
      <c r="N661" s="74"/>
      <c r="O661" s="74"/>
      <c r="P661" s="74"/>
      <c r="Q661" s="74"/>
      <c r="R661" s="74"/>
      <c r="S661" s="74"/>
      <c r="T661" s="74"/>
      <c r="U661" s="74"/>
      <c r="V661" s="74"/>
      <c r="W661" s="74"/>
      <c r="X661" s="74"/>
      <c r="Y661" s="74"/>
      <c r="Z661" s="74"/>
    </row>
    <row r="662">
      <c r="A662" s="74"/>
      <c r="B662" s="73"/>
      <c r="C662" s="73"/>
      <c r="D662" s="73"/>
      <c r="E662" s="73"/>
      <c r="F662" s="74"/>
      <c r="G662" s="74"/>
      <c r="H662" s="74"/>
      <c r="I662" s="74"/>
      <c r="J662" s="74"/>
      <c r="K662" s="74"/>
      <c r="L662" s="74"/>
      <c r="M662" s="74"/>
      <c r="N662" s="74"/>
      <c r="O662" s="74"/>
      <c r="P662" s="74"/>
      <c r="Q662" s="74"/>
      <c r="R662" s="74"/>
      <c r="S662" s="74"/>
      <c r="T662" s="74"/>
      <c r="U662" s="74"/>
      <c r="V662" s="74"/>
      <c r="W662" s="74"/>
      <c r="X662" s="74"/>
      <c r="Y662" s="74"/>
      <c r="Z662" s="74"/>
    </row>
    <row r="663">
      <c r="A663" s="74"/>
      <c r="B663" s="73"/>
      <c r="C663" s="73"/>
      <c r="D663" s="73"/>
      <c r="E663" s="73"/>
      <c r="F663" s="74"/>
      <c r="G663" s="74"/>
      <c r="H663" s="74"/>
      <c r="I663" s="74"/>
      <c r="J663" s="74"/>
      <c r="K663" s="74"/>
      <c r="L663" s="74"/>
      <c r="M663" s="74"/>
      <c r="N663" s="74"/>
      <c r="O663" s="74"/>
      <c r="P663" s="74"/>
      <c r="Q663" s="74"/>
      <c r="R663" s="74"/>
      <c r="S663" s="74"/>
      <c r="T663" s="74"/>
      <c r="U663" s="74"/>
      <c r="V663" s="74"/>
      <c r="W663" s="74"/>
      <c r="X663" s="74"/>
      <c r="Y663" s="74"/>
      <c r="Z663" s="74"/>
    </row>
    <row r="664">
      <c r="A664" s="74"/>
      <c r="B664" s="73"/>
      <c r="C664" s="73"/>
      <c r="D664" s="73"/>
      <c r="E664" s="73"/>
      <c r="F664" s="74"/>
      <c r="G664" s="74"/>
      <c r="H664" s="74"/>
      <c r="I664" s="74"/>
      <c r="J664" s="74"/>
      <c r="K664" s="74"/>
      <c r="L664" s="74"/>
      <c r="M664" s="74"/>
      <c r="N664" s="74"/>
      <c r="O664" s="74"/>
      <c r="P664" s="74"/>
      <c r="Q664" s="74"/>
      <c r="R664" s="74"/>
      <c r="S664" s="74"/>
      <c r="T664" s="74"/>
      <c r="U664" s="74"/>
      <c r="V664" s="74"/>
      <c r="W664" s="74"/>
      <c r="X664" s="74"/>
      <c r="Y664" s="74"/>
      <c r="Z664" s="74"/>
    </row>
    <row r="665">
      <c r="A665" s="74"/>
      <c r="B665" s="73"/>
      <c r="C665" s="73"/>
      <c r="D665" s="73"/>
      <c r="E665" s="73"/>
      <c r="F665" s="74"/>
      <c r="G665" s="74"/>
      <c r="H665" s="74"/>
      <c r="I665" s="74"/>
      <c r="J665" s="74"/>
      <c r="K665" s="74"/>
      <c r="L665" s="74"/>
      <c r="M665" s="74"/>
      <c r="N665" s="74"/>
      <c r="O665" s="74"/>
      <c r="P665" s="74"/>
      <c r="Q665" s="74"/>
      <c r="R665" s="74"/>
      <c r="S665" s="74"/>
      <c r="T665" s="74"/>
      <c r="U665" s="74"/>
      <c r="V665" s="74"/>
      <c r="W665" s="74"/>
      <c r="X665" s="74"/>
      <c r="Y665" s="74"/>
      <c r="Z665" s="74"/>
    </row>
    <row r="666">
      <c r="A666" s="74"/>
      <c r="B666" s="73"/>
      <c r="C666" s="73"/>
      <c r="D666" s="73"/>
      <c r="E666" s="73"/>
      <c r="F666" s="74"/>
      <c r="G666" s="74"/>
      <c r="H666" s="74"/>
      <c r="I666" s="74"/>
      <c r="J666" s="74"/>
      <c r="K666" s="74"/>
      <c r="L666" s="74"/>
      <c r="M666" s="74"/>
      <c r="N666" s="74"/>
      <c r="O666" s="74"/>
      <c r="P666" s="74"/>
      <c r="Q666" s="74"/>
      <c r="R666" s="74"/>
      <c r="S666" s="74"/>
      <c r="T666" s="74"/>
      <c r="U666" s="74"/>
      <c r="V666" s="74"/>
      <c r="W666" s="74"/>
      <c r="X666" s="74"/>
      <c r="Y666" s="74"/>
      <c r="Z666" s="74"/>
    </row>
    <row r="667">
      <c r="A667" s="74"/>
      <c r="B667" s="73"/>
      <c r="C667" s="73"/>
      <c r="D667" s="73"/>
      <c r="E667" s="73"/>
      <c r="F667" s="74"/>
      <c r="G667" s="74"/>
      <c r="H667" s="74"/>
      <c r="I667" s="74"/>
      <c r="J667" s="74"/>
      <c r="K667" s="74"/>
      <c r="L667" s="74"/>
      <c r="M667" s="74"/>
      <c r="N667" s="74"/>
      <c r="O667" s="74"/>
      <c r="P667" s="74"/>
      <c r="Q667" s="74"/>
      <c r="R667" s="74"/>
      <c r="S667" s="74"/>
      <c r="T667" s="74"/>
      <c r="U667" s="74"/>
      <c r="V667" s="74"/>
      <c r="W667" s="74"/>
      <c r="X667" s="74"/>
      <c r="Y667" s="74"/>
      <c r="Z667" s="74"/>
    </row>
    <row r="668">
      <c r="A668" s="74"/>
      <c r="B668" s="73"/>
      <c r="C668" s="73"/>
      <c r="D668" s="73"/>
      <c r="E668" s="73"/>
      <c r="F668" s="74"/>
      <c r="G668" s="74"/>
      <c r="H668" s="74"/>
      <c r="I668" s="74"/>
      <c r="J668" s="74"/>
      <c r="K668" s="74"/>
      <c r="L668" s="74"/>
      <c r="M668" s="74"/>
      <c r="N668" s="74"/>
      <c r="O668" s="74"/>
      <c r="P668" s="74"/>
      <c r="Q668" s="74"/>
      <c r="R668" s="74"/>
      <c r="S668" s="74"/>
      <c r="T668" s="74"/>
      <c r="U668" s="74"/>
      <c r="V668" s="74"/>
      <c r="W668" s="74"/>
      <c r="X668" s="74"/>
      <c r="Y668" s="74"/>
      <c r="Z668" s="74"/>
    </row>
    <row r="669">
      <c r="A669" s="74"/>
      <c r="B669" s="73"/>
      <c r="C669" s="73"/>
      <c r="D669" s="73"/>
      <c r="E669" s="73"/>
      <c r="F669" s="74"/>
      <c r="G669" s="74"/>
      <c r="H669" s="74"/>
      <c r="I669" s="74"/>
      <c r="J669" s="74"/>
      <c r="K669" s="74"/>
      <c r="L669" s="74"/>
      <c r="M669" s="74"/>
      <c r="N669" s="74"/>
      <c r="O669" s="74"/>
      <c r="P669" s="74"/>
      <c r="Q669" s="74"/>
      <c r="R669" s="74"/>
      <c r="S669" s="74"/>
      <c r="T669" s="74"/>
      <c r="U669" s="74"/>
      <c r="V669" s="74"/>
      <c r="W669" s="74"/>
      <c r="X669" s="74"/>
      <c r="Y669" s="74"/>
      <c r="Z669" s="74"/>
    </row>
    <row r="670">
      <c r="A670" s="74"/>
      <c r="B670" s="73"/>
      <c r="C670" s="73"/>
      <c r="D670" s="73"/>
      <c r="E670" s="73"/>
      <c r="F670" s="74"/>
      <c r="G670" s="74"/>
      <c r="H670" s="74"/>
      <c r="I670" s="74"/>
      <c r="J670" s="74"/>
      <c r="K670" s="74"/>
      <c r="L670" s="74"/>
      <c r="M670" s="74"/>
      <c r="N670" s="74"/>
      <c r="O670" s="74"/>
      <c r="P670" s="74"/>
      <c r="Q670" s="74"/>
      <c r="R670" s="74"/>
      <c r="S670" s="74"/>
      <c r="T670" s="74"/>
      <c r="U670" s="74"/>
      <c r="V670" s="74"/>
      <c r="W670" s="74"/>
      <c r="X670" s="74"/>
      <c r="Y670" s="74"/>
      <c r="Z670" s="74"/>
    </row>
    <row r="671">
      <c r="A671" s="74"/>
      <c r="B671" s="73"/>
      <c r="C671" s="73"/>
      <c r="D671" s="73"/>
      <c r="E671" s="73"/>
      <c r="F671" s="74"/>
      <c r="G671" s="74"/>
      <c r="H671" s="74"/>
      <c r="I671" s="74"/>
      <c r="J671" s="74"/>
      <c r="K671" s="74"/>
      <c r="L671" s="74"/>
      <c r="M671" s="74"/>
      <c r="N671" s="74"/>
      <c r="O671" s="74"/>
      <c r="P671" s="74"/>
      <c r="Q671" s="74"/>
      <c r="R671" s="74"/>
      <c r="S671" s="74"/>
      <c r="T671" s="74"/>
      <c r="U671" s="74"/>
      <c r="V671" s="74"/>
      <c r="W671" s="74"/>
      <c r="X671" s="74"/>
      <c r="Y671" s="74"/>
      <c r="Z671" s="74"/>
    </row>
    <row r="672">
      <c r="A672" s="74"/>
      <c r="B672" s="73"/>
      <c r="C672" s="73"/>
      <c r="D672" s="73"/>
      <c r="E672" s="73"/>
      <c r="F672" s="74"/>
      <c r="G672" s="74"/>
      <c r="H672" s="74"/>
      <c r="I672" s="74"/>
      <c r="J672" s="74"/>
      <c r="K672" s="74"/>
      <c r="L672" s="74"/>
      <c r="M672" s="74"/>
      <c r="N672" s="74"/>
      <c r="O672" s="74"/>
      <c r="P672" s="74"/>
      <c r="Q672" s="74"/>
      <c r="R672" s="74"/>
      <c r="S672" s="74"/>
      <c r="T672" s="74"/>
      <c r="U672" s="74"/>
      <c r="V672" s="74"/>
      <c r="W672" s="74"/>
      <c r="X672" s="74"/>
      <c r="Y672" s="74"/>
      <c r="Z672" s="74"/>
    </row>
    <row r="673">
      <c r="A673" s="74"/>
      <c r="B673" s="73"/>
      <c r="C673" s="73"/>
      <c r="D673" s="73"/>
      <c r="E673" s="73"/>
      <c r="F673" s="74"/>
      <c r="G673" s="74"/>
      <c r="H673" s="74"/>
      <c r="I673" s="74"/>
      <c r="J673" s="74"/>
      <c r="K673" s="74"/>
      <c r="L673" s="74"/>
      <c r="M673" s="74"/>
      <c r="N673" s="74"/>
      <c r="O673" s="74"/>
      <c r="P673" s="74"/>
      <c r="Q673" s="74"/>
      <c r="R673" s="74"/>
      <c r="S673" s="74"/>
      <c r="T673" s="74"/>
      <c r="U673" s="74"/>
      <c r="V673" s="74"/>
      <c r="W673" s="74"/>
      <c r="X673" s="74"/>
      <c r="Y673" s="74"/>
      <c r="Z673" s="74"/>
    </row>
    <row r="674">
      <c r="A674" s="74"/>
      <c r="B674" s="73"/>
      <c r="C674" s="73"/>
      <c r="D674" s="73"/>
      <c r="E674" s="73"/>
      <c r="F674" s="74"/>
      <c r="G674" s="74"/>
      <c r="H674" s="74"/>
      <c r="I674" s="74"/>
      <c r="J674" s="74"/>
      <c r="K674" s="74"/>
      <c r="L674" s="74"/>
      <c r="M674" s="74"/>
      <c r="N674" s="74"/>
      <c r="O674" s="74"/>
      <c r="P674" s="74"/>
      <c r="Q674" s="74"/>
      <c r="R674" s="74"/>
      <c r="S674" s="74"/>
      <c r="T674" s="74"/>
      <c r="U674" s="74"/>
      <c r="V674" s="74"/>
      <c r="W674" s="74"/>
      <c r="X674" s="74"/>
      <c r="Y674" s="74"/>
      <c r="Z674" s="74"/>
    </row>
    <row r="675">
      <c r="A675" s="74"/>
      <c r="B675" s="73"/>
      <c r="C675" s="73"/>
      <c r="D675" s="73"/>
      <c r="E675" s="73"/>
      <c r="F675" s="74"/>
      <c r="G675" s="74"/>
      <c r="H675" s="74"/>
      <c r="I675" s="74"/>
      <c r="J675" s="74"/>
      <c r="K675" s="74"/>
      <c r="L675" s="74"/>
      <c r="M675" s="74"/>
      <c r="N675" s="74"/>
      <c r="O675" s="74"/>
      <c r="P675" s="74"/>
      <c r="Q675" s="74"/>
      <c r="R675" s="74"/>
      <c r="S675" s="74"/>
      <c r="T675" s="74"/>
      <c r="U675" s="74"/>
      <c r="V675" s="74"/>
      <c r="W675" s="74"/>
      <c r="X675" s="74"/>
      <c r="Y675" s="74"/>
      <c r="Z675" s="74"/>
    </row>
    <row r="676">
      <c r="A676" s="74"/>
      <c r="B676" s="73"/>
      <c r="C676" s="73"/>
      <c r="D676" s="73"/>
      <c r="E676" s="73"/>
      <c r="F676" s="74"/>
      <c r="G676" s="74"/>
      <c r="H676" s="74"/>
      <c r="I676" s="74"/>
      <c r="J676" s="74"/>
      <c r="K676" s="74"/>
      <c r="L676" s="74"/>
      <c r="M676" s="74"/>
      <c r="N676" s="74"/>
      <c r="O676" s="74"/>
      <c r="P676" s="74"/>
      <c r="Q676" s="74"/>
      <c r="R676" s="74"/>
      <c r="S676" s="74"/>
      <c r="T676" s="74"/>
      <c r="U676" s="74"/>
      <c r="V676" s="74"/>
      <c r="W676" s="74"/>
      <c r="X676" s="74"/>
      <c r="Y676" s="74"/>
      <c r="Z676" s="74"/>
    </row>
    <row r="677">
      <c r="A677" s="74"/>
      <c r="B677" s="73"/>
      <c r="C677" s="73"/>
      <c r="D677" s="73"/>
      <c r="E677" s="73"/>
      <c r="F677" s="74"/>
      <c r="G677" s="74"/>
      <c r="H677" s="74"/>
      <c r="I677" s="74"/>
      <c r="J677" s="74"/>
      <c r="K677" s="74"/>
      <c r="L677" s="74"/>
      <c r="M677" s="74"/>
      <c r="N677" s="74"/>
      <c r="O677" s="74"/>
      <c r="P677" s="74"/>
      <c r="Q677" s="74"/>
      <c r="R677" s="74"/>
      <c r="S677" s="74"/>
      <c r="T677" s="74"/>
      <c r="U677" s="74"/>
      <c r="V677" s="74"/>
      <c r="W677" s="74"/>
      <c r="X677" s="74"/>
      <c r="Y677" s="74"/>
      <c r="Z677" s="74"/>
    </row>
    <row r="678">
      <c r="A678" s="74"/>
      <c r="B678" s="73"/>
      <c r="C678" s="73"/>
      <c r="D678" s="73"/>
      <c r="E678" s="73"/>
      <c r="F678" s="74"/>
      <c r="G678" s="74"/>
      <c r="H678" s="74"/>
      <c r="I678" s="74"/>
      <c r="J678" s="74"/>
      <c r="K678" s="74"/>
      <c r="L678" s="74"/>
      <c r="M678" s="74"/>
      <c r="N678" s="74"/>
      <c r="O678" s="74"/>
      <c r="P678" s="74"/>
      <c r="Q678" s="74"/>
      <c r="R678" s="74"/>
      <c r="S678" s="74"/>
      <c r="T678" s="74"/>
      <c r="U678" s="74"/>
      <c r="V678" s="74"/>
      <c r="W678" s="74"/>
      <c r="X678" s="74"/>
      <c r="Y678" s="74"/>
      <c r="Z678" s="74"/>
    </row>
    <row r="679">
      <c r="A679" s="74"/>
      <c r="B679" s="73"/>
      <c r="C679" s="73"/>
      <c r="D679" s="73"/>
      <c r="E679" s="73"/>
      <c r="F679" s="74"/>
      <c r="G679" s="74"/>
      <c r="H679" s="74"/>
      <c r="I679" s="74"/>
      <c r="J679" s="74"/>
      <c r="K679" s="74"/>
      <c r="L679" s="74"/>
      <c r="M679" s="74"/>
      <c r="N679" s="74"/>
      <c r="O679" s="74"/>
      <c r="P679" s="74"/>
      <c r="Q679" s="74"/>
      <c r="R679" s="74"/>
      <c r="S679" s="74"/>
      <c r="T679" s="74"/>
      <c r="U679" s="74"/>
      <c r="V679" s="74"/>
      <c r="W679" s="74"/>
      <c r="X679" s="74"/>
      <c r="Y679" s="74"/>
      <c r="Z679" s="74"/>
    </row>
    <row r="680">
      <c r="A680" s="74"/>
      <c r="B680" s="73"/>
      <c r="C680" s="73"/>
      <c r="D680" s="73"/>
      <c r="E680" s="73"/>
      <c r="F680" s="74"/>
      <c r="G680" s="74"/>
      <c r="H680" s="74"/>
      <c r="I680" s="74"/>
      <c r="J680" s="74"/>
      <c r="K680" s="74"/>
      <c r="L680" s="74"/>
      <c r="M680" s="74"/>
      <c r="N680" s="74"/>
      <c r="O680" s="74"/>
      <c r="P680" s="74"/>
      <c r="Q680" s="74"/>
      <c r="R680" s="74"/>
      <c r="S680" s="74"/>
      <c r="T680" s="74"/>
      <c r="U680" s="74"/>
      <c r="V680" s="74"/>
      <c r="W680" s="74"/>
      <c r="X680" s="74"/>
      <c r="Y680" s="74"/>
      <c r="Z680" s="74"/>
    </row>
    <row r="681">
      <c r="A681" s="74"/>
      <c r="B681" s="73"/>
      <c r="C681" s="73"/>
      <c r="D681" s="73"/>
      <c r="E681" s="73"/>
      <c r="F681" s="74"/>
      <c r="G681" s="74"/>
      <c r="H681" s="74"/>
      <c r="I681" s="74"/>
      <c r="J681" s="74"/>
      <c r="K681" s="74"/>
      <c r="L681" s="74"/>
      <c r="M681" s="74"/>
      <c r="N681" s="74"/>
      <c r="O681" s="74"/>
      <c r="P681" s="74"/>
      <c r="Q681" s="74"/>
      <c r="R681" s="74"/>
      <c r="S681" s="74"/>
      <c r="T681" s="74"/>
      <c r="U681" s="74"/>
      <c r="V681" s="74"/>
      <c r="W681" s="74"/>
      <c r="X681" s="74"/>
      <c r="Y681" s="74"/>
      <c r="Z681" s="74"/>
    </row>
    <row r="682">
      <c r="A682" s="74"/>
      <c r="B682" s="73"/>
      <c r="C682" s="73"/>
      <c r="D682" s="73"/>
      <c r="E682" s="73"/>
      <c r="F682" s="74"/>
      <c r="G682" s="74"/>
      <c r="H682" s="74"/>
      <c r="I682" s="74"/>
      <c r="J682" s="74"/>
      <c r="K682" s="74"/>
      <c r="L682" s="74"/>
      <c r="M682" s="74"/>
      <c r="N682" s="74"/>
      <c r="O682" s="74"/>
      <c r="P682" s="74"/>
      <c r="Q682" s="74"/>
      <c r="R682" s="74"/>
      <c r="S682" s="74"/>
      <c r="T682" s="74"/>
      <c r="U682" s="74"/>
      <c r="V682" s="74"/>
      <c r="W682" s="74"/>
      <c r="X682" s="74"/>
      <c r="Y682" s="74"/>
      <c r="Z682" s="74"/>
    </row>
    <row r="683">
      <c r="A683" s="74"/>
      <c r="B683" s="73"/>
      <c r="C683" s="73"/>
      <c r="D683" s="73"/>
      <c r="E683" s="73"/>
      <c r="F683" s="74"/>
      <c r="G683" s="74"/>
      <c r="H683" s="74"/>
      <c r="I683" s="74"/>
      <c r="J683" s="74"/>
      <c r="K683" s="74"/>
      <c r="L683" s="74"/>
      <c r="M683" s="74"/>
      <c r="N683" s="74"/>
      <c r="O683" s="74"/>
      <c r="P683" s="74"/>
      <c r="Q683" s="74"/>
      <c r="R683" s="74"/>
      <c r="S683" s="74"/>
      <c r="T683" s="74"/>
      <c r="U683" s="74"/>
      <c r="V683" s="74"/>
      <c r="W683" s="74"/>
      <c r="X683" s="74"/>
      <c r="Y683" s="74"/>
      <c r="Z683" s="74"/>
    </row>
    <row r="684">
      <c r="A684" s="74"/>
      <c r="B684" s="73"/>
      <c r="C684" s="73"/>
      <c r="D684" s="73"/>
      <c r="E684" s="73"/>
      <c r="F684" s="74"/>
      <c r="G684" s="74"/>
      <c r="H684" s="74"/>
      <c r="I684" s="74"/>
      <c r="J684" s="74"/>
      <c r="K684" s="74"/>
      <c r="L684" s="74"/>
      <c r="M684" s="74"/>
      <c r="N684" s="74"/>
      <c r="O684" s="74"/>
      <c r="P684" s="74"/>
      <c r="Q684" s="74"/>
      <c r="R684" s="74"/>
      <c r="S684" s="74"/>
      <c r="T684" s="74"/>
      <c r="U684" s="74"/>
      <c r="V684" s="74"/>
      <c r="W684" s="74"/>
      <c r="X684" s="74"/>
      <c r="Y684" s="74"/>
      <c r="Z684" s="74"/>
    </row>
    <row r="685">
      <c r="A685" s="74"/>
      <c r="B685" s="73"/>
      <c r="C685" s="73"/>
      <c r="D685" s="73"/>
      <c r="E685" s="73"/>
      <c r="F685" s="74"/>
      <c r="G685" s="74"/>
      <c r="H685" s="74"/>
      <c r="I685" s="74"/>
      <c r="J685" s="74"/>
      <c r="K685" s="74"/>
      <c r="L685" s="74"/>
      <c r="M685" s="74"/>
      <c r="N685" s="74"/>
      <c r="O685" s="74"/>
      <c r="P685" s="74"/>
      <c r="Q685" s="74"/>
      <c r="R685" s="74"/>
      <c r="S685" s="74"/>
      <c r="T685" s="74"/>
      <c r="U685" s="74"/>
      <c r="V685" s="74"/>
      <c r="W685" s="74"/>
      <c r="X685" s="74"/>
      <c r="Y685" s="74"/>
      <c r="Z685" s="74"/>
    </row>
    <row r="686">
      <c r="A686" s="74"/>
      <c r="B686" s="73"/>
      <c r="C686" s="73"/>
      <c r="D686" s="73"/>
      <c r="E686" s="73"/>
      <c r="F686" s="74"/>
      <c r="G686" s="74"/>
      <c r="H686" s="74"/>
      <c r="I686" s="74"/>
      <c r="J686" s="74"/>
      <c r="K686" s="74"/>
      <c r="L686" s="74"/>
      <c r="M686" s="74"/>
      <c r="N686" s="74"/>
      <c r="O686" s="74"/>
      <c r="P686" s="74"/>
      <c r="Q686" s="74"/>
      <c r="R686" s="74"/>
      <c r="S686" s="74"/>
      <c r="T686" s="74"/>
      <c r="U686" s="74"/>
      <c r="V686" s="74"/>
      <c r="W686" s="74"/>
      <c r="X686" s="74"/>
      <c r="Y686" s="74"/>
      <c r="Z686" s="74"/>
    </row>
    <row r="687">
      <c r="A687" s="74"/>
      <c r="B687" s="73"/>
      <c r="C687" s="73"/>
      <c r="D687" s="73"/>
      <c r="E687" s="73"/>
      <c r="F687" s="74"/>
      <c r="G687" s="74"/>
      <c r="H687" s="74"/>
      <c r="I687" s="74"/>
      <c r="J687" s="74"/>
      <c r="K687" s="74"/>
      <c r="L687" s="74"/>
      <c r="M687" s="74"/>
      <c r="N687" s="74"/>
      <c r="O687" s="74"/>
      <c r="P687" s="74"/>
      <c r="Q687" s="74"/>
      <c r="R687" s="74"/>
      <c r="S687" s="74"/>
      <c r="T687" s="74"/>
      <c r="U687" s="74"/>
      <c r="V687" s="74"/>
      <c r="W687" s="74"/>
      <c r="X687" s="74"/>
      <c r="Y687" s="74"/>
      <c r="Z687" s="74"/>
    </row>
    <row r="688">
      <c r="A688" s="74"/>
      <c r="B688" s="73"/>
      <c r="C688" s="73"/>
      <c r="D688" s="73"/>
      <c r="E688" s="73"/>
      <c r="F688" s="74"/>
      <c r="G688" s="74"/>
      <c r="H688" s="74"/>
      <c r="I688" s="74"/>
      <c r="J688" s="74"/>
      <c r="K688" s="74"/>
      <c r="L688" s="74"/>
      <c r="M688" s="74"/>
      <c r="N688" s="74"/>
      <c r="O688" s="74"/>
      <c r="P688" s="74"/>
      <c r="Q688" s="74"/>
      <c r="R688" s="74"/>
      <c r="S688" s="74"/>
      <c r="T688" s="74"/>
      <c r="U688" s="74"/>
      <c r="V688" s="74"/>
      <c r="W688" s="74"/>
      <c r="X688" s="74"/>
      <c r="Y688" s="74"/>
      <c r="Z688" s="74"/>
    </row>
    <row r="689">
      <c r="A689" s="74"/>
      <c r="B689" s="73"/>
      <c r="C689" s="73"/>
      <c r="D689" s="73"/>
      <c r="E689" s="73"/>
      <c r="F689" s="74"/>
      <c r="G689" s="74"/>
      <c r="H689" s="74"/>
      <c r="I689" s="74"/>
      <c r="J689" s="74"/>
      <c r="K689" s="74"/>
      <c r="L689" s="74"/>
      <c r="M689" s="74"/>
      <c r="N689" s="74"/>
      <c r="O689" s="74"/>
      <c r="P689" s="74"/>
      <c r="Q689" s="74"/>
      <c r="R689" s="74"/>
      <c r="S689" s="74"/>
      <c r="T689" s="74"/>
      <c r="U689" s="74"/>
      <c r="V689" s="74"/>
      <c r="W689" s="74"/>
      <c r="X689" s="74"/>
      <c r="Y689" s="74"/>
      <c r="Z689" s="74"/>
    </row>
    <row r="690">
      <c r="A690" s="74"/>
      <c r="B690" s="73"/>
      <c r="C690" s="73"/>
      <c r="D690" s="73"/>
      <c r="E690" s="73"/>
      <c r="F690" s="74"/>
      <c r="G690" s="74"/>
      <c r="H690" s="74"/>
      <c r="I690" s="74"/>
      <c r="J690" s="74"/>
      <c r="K690" s="74"/>
      <c r="L690" s="74"/>
      <c r="M690" s="74"/>
      <c r="N690" s="74"/>
      <c r="O690" s="74"/>
      <c r="P690" s="74"/>
      <c r="Q690" s="74"/>
      <c r="R690" s="74"/>
      <c r="S690" s="74"/>
      <c r="T690" s="74"/>
      <c r="U690" s="74"/>
      <c r="V690" s="74"/>
      <c r="W690" s="74"/>
      <c r="X690" s="74"/>
      <c r="Y690" s="74"/>
      <c r="Z690" s="74"/>
    </row>
    <row r="691">
      <c r="A691" s="74"/>
      <c r="B691" s="73"/>
      <c r="C691" s="73"/>
      <c r="D691" s="73"/>
      <c r="E691" s="73"/>
      <c r="F691" s="74"/>
      <c r="G691" s="74"/>
      <c r="H691" s="74"/>
      <c r="I691" s="74"/>
      <c r="J691" s="74"/>
      <c r="K691" s="74"/>
      <c r="L691" s="74"/>
      <c r="M691" s="74"/>
      <c r="N691" s="74"/>
      <c r="O691" s="74"/>
      <c r="P691" s="74"/>
      <c r="Q691" s="74"/>
      <c r="R691" s="74"/>
      <c r="S691" s="74"/>
      <c r="T691" s="74"/>
      <c r="U691" s="74"/>
      <c r="V691" s="74"/>
      <c r="W691" s="74"/>
      <c r="X691" s="74"/>
      <c r="Y691" s="74"/>
      <c r="Z691" s="74"/>
    </row>
    <row r="692">
      <c r="A692" s="74"/>
      <c r="B692" s="73"/>
      <c r="C692" s="73"/>
      <c r="D692" s="73"/>
      <c r="E692" s="73"/>
      <c r="F692" s="74"/>
      <c r="G692" s="74"/>
      <c r="H692" s="74"/>
      <c r="I692" s="74"/>
      <c r="J692" s="74"/>
      <c r="K692" s="74"/>
      <c r="L692" s="74"/>
      <c r="M692" s="74"/>
      <c r="N692" s="74"/>
      <c r="O692" s="74"/>
      <c r="P692" s="74"/>
      <c r="Q692" s="74"/>
      <c r="R692" s="74"/>
      <c r="S692" s="74"/>
      <c r="T692" s="74"/>
      <c r="U692" s="74"/>
      <c r="V692" s="74"/>
      <c r="W692" s="74"/>
      <c r="X692" s="74"/>
      <c r="Y692" s="74"/>
      <c r="Z692" s="74"/>
    </row>
    <row r="693">
      <c r="A693" s="74"/>
      <c r="B693" s="73"/>
      <c r="C693" s="73"/>
      <c r="D693" s="73"/>
      <c r="E693" s="73"/>
      <c r="F693" s="74"/>
      <c r="G693" s="74"/>
      <c r="H693" s="74"/>
      <c r="I693" s="74"/>
      <c r="J693" s="74"/>
      <c r="K693" s="74"/>
      <c r="L693" s="74"/>
      <c r="M693" s="74"/>
      <c r="N693" s="74"/>
      <c r="O693" s="74"/>
      <c r="P693" s="74"/>
      <c r="Q693" s="74"/>
      <c r="R693" s="74"/>
      <c r="S693" s="74"/>
      <c r="T693" s="74"/>
      <c r="U693" s="74"/>
      <c r="V693" s="74"/>
      <c r="W693" s="74"/>
      <c r="X693" s="74"/>
      <c r="Y693" s="74"/>
      <c r="Z693" s="74"/>
    </row>
    <row r="694">
      <c r="A694" s="74"/>
      <c r="B694" s="73"/>
      <c r="C694" s="73"/>
      <c r="D694" s="73"/>
      <c r="E694" s="73"/>
      <c r="F694" s="74"/>
      <c r="G694" s="74"/>
      <c r="H694" s="74"/>
      <c r="I694" s="74"/>
      <c r="J694" s="74"/>
      <c r="K694" s="74"/>
      <c r="L694" s="74"/>
      <c r="M694" s="74"/>
      <c r="N694" s="74"/>
      <c r="O694" s="74"/>
      <c r="P694" s="74"/>
      <c r="Q694" s="74"/>
      <c r="R694" s="74"/>
      <c r="S694" s="74"/>
      <c r="T694" s="74"/>
      <c r="U694" s="74"/>
      <c r="V694" s="74"/>
      <c r="W694" s="74"/>
      <c r="X694" s="74"/>
      <c r="Y694" s="74"/>
      <c r="Z694" s="74"/>
    </row>
    <row r="695">
      <c r="A695" s="74"/>
      <c r="B695" s="73"/>
      <c r="C695" s="73"/>
      <c r="D695" s="73"/>
      <c r="E695" s="73"/>
      <c r="F695" s="74"/>
      <c r="G695" s="74"/>
      <c r="H695" s="74"/>
      <c r="I695" s="74"/>
      <c r="J695" s="74"/>
      <c r="K695" s="74"/>
      <c r="L695" s="74"/>
      <c r="M695" s="74"/>
      <c r="N695" s="74"/>
      <c r="O695" s="74"/>
      <c r="P695" s="74"/>
      <c r="Q695" s="74"/>
      <c r="R695" s="74"/>
      <c r="S695" s="74"/>
      <c r="T695" s="74"/>
      <c r="U695" s="74"/>
      <c r="V695" s="74"/>
      <c r="W695" s="74"/>
      <c r="X695" s="74"/>
      <c r="Y695" s="74"/>
      <c r="Z695" s="74"/>
    </row>
    <row r="696">
      <c r="A696" s="74"/>
      <c r="B696" s="73"/>
      <c r="C696" s="73"/>
      <c r="D696" s="73"/>
      <c r="E696" s="73"/>
      <c r="F696" s="74"/>
      <c r="G696" s="74"/>
      <c r="H696" s="74"/>
      <c r="I696" s="74"/>
      <c r="J696" s="74"/>
      <c r="K696" s="74"/>
      <c r="L696" s="74"/>
      <c r="M696" s="74"/>
      <c r="N696" s="74"/>
      <c r="O696" s="74"/>
      <c r="P696" s="74"/>
      <c r="Q696" s="74"/>
      <c r="R696" s="74"/>
      <c r="S696" s="74"/>
      <c r="T696" s="74"/>
      <c r="U696" s="74"/>
      <c r="V696" s="74"/>
      <c r="W696" s="74"/>
      <c r="X696" s="74"/>
      <c r="Y696" s="74"/>
      <c r="Z696" s="74"/>
    </row>
    <row r="697">
      <c r="A697" s="74"/>
      <c r="B697" s="73"/>
      <c r="C697" s="73"/>
      <c r="D697" s="73"/>
      <c r="E697" s="73"/>
      <c r="F697" s="74"/>
      <c r="G697" s="74"/>
      <c r="H697" s="74"/>
      <c r="I697" s="74"/>
      <c r="J697" s="74"/>
      <c r="K697" s="74"/>
      <c r="L697" s="74"/>
      <c r="M697" s="74"/>
      <c r="N697" s="74"/>
      <c r="O697" s="74"/>
      <c r="P697" s="74"/>
      <c r="Q697" s="74"/>
      <c r="R697" s="74"/>
      <c r="S697" s="74"/>
      <c r="T697" s="74"/>
      <c r="U697" s="74"/>
      <c r="V697" s="74"/>
      <c r="W697" s="74"/>
      <c r="X697" s="74"/>
      <c r="Y697" s="74"/>
      <c r="Z697" s="74"/>
    </row>
    <row r="698">
      <c r="A698" s="74"/>
      <c r="B698" s="73"/>
      <c r="C698" s="73"/>
      <c r="D698" s="73"/>
      <c r="E698" s="73"/>
      <c r="F698" s="74"/>
      <c r="G698" s="74"/>
      <c r="H698" s="74"/>
      <c r="I698" s="74"/>
      <c r="J698" s="74"/>
      <c r="K698" s="74"/>
      <c r="L698" s="74"/>
      <c r="M698" s="74"/>
      <c r="N698" s="74"/>
      <c r="O698" s="74"/>
      <c r="P698" s="74"/>
      <c r="Q698" s="74"/>
      <c r="R698" s="74"/>
      <c r="S698" s="74"/>
      <c r="T698" s="74"/>
      <c r="U698" s="74"/>
      <c r="V698" s="74"/>
      <c r="W698" s="74"/>
      <c r="X698" s="74"/>
      <c r="Y698" s="74"/>
      <c r="Z698" s="74"/>
    </row>
    <row r="699">
      <c r="A699" s="74"/>
      <c r="B699" s="73"/>
      <c r="C699" s="73"/>
      <c r="D699" s="73"/>
      <c r="E699" s="73"/>
      <c r="F699" s="74"/>
      <c r="G699" s="74"/>
      <c r="H699" s="74"/>
      <c r="I699" s="74"/>
      <c r="J699" s="74"/>
      <c r="K699" s="74"/>
      <c r="L699" s="74"/>
      <c r="M699" s="74"/>
      <c r="N699" s="74"/>
      <c r="O699" s="74"/>
      <c r="P699" s="74"/>
      <c r="Q699" s="74"/>
      <c r="R699" s="74"/>
      <c r="S699" s="74"/>
      <c r="T699" s="74"/>
      <c r="U699" s="74"/>
      <c r="V699" s="74"/>
      <c r="W699" s="74"/>
      <c r="X699" s="74"/>
      <c r="Y699" s="74"/>
      <c r="Z699" s="74"/>
    </row>
    <row r="700">
      <c r="A700" s="74"/>
      <c r="B700" s="73"/>
      <c r="C700" s="73"/>
      <c r="D700" s="73"/>
      <c r="E700" s="73"/>
      <c r="F700" s="74"/>
      <c r="G700" s="74"/>
      <c r="H700" s="74"/>
      <c r="I700" s="74"/>
      <c r="J700" s="74"/>
      <c r="K700" s="74"/>
      <c r="L700" s="74"/>
      <c r="M700" s="74"/>
      <c r="N700" s="74"/>
      <c r="O700" s="74"/>
      <c r="P700" s="74"/>
      <c r="Q700" s="74"/>
      <c r="R700" s="74"/>
      <c r="S700" s="74"/>
      <c r="T700" s="74"/>
      <c r="U700" s="74"/>
      <c r="V700" s="74"/>
      <c r="W700" s="74"/>
      <c r="X700" s="74"/>
      <c r="Y700" s="74"/>
      <c r="Z700" s="74"/>
    </row>
    <row r="701">
      <c r="A701" s="74"/>
      <c r="B701" s="73"/>
      <c r="C701" s="73"/>
      <c r="D701" s="73"/>
      <c r="E701" s="73"/>
      <c r="F701" s="74"/>
      <c r="G701" s="74"/>
      <c r="H701" s="74"/>
      <c r="I701" s="74"/>
      <c r="J701" s="74"/>
      <c r="K701" s="74"/>
      <c r="L701" s="74"/>
      <c r="M701" s="74"/>
      <c r="N701" s="74"/>
      <c r="O701" s="74"/>
      <c r="P701" s="74"/>
      <c r="Q701" s="74"/>
      <c r="R701" s="74"/>
      <c r="S701" s="74"/>
      <c r="T701" s="74"/>
      <c r="U701" s="74"/>
      <c r="V701" s="74"/>
      <c r="W701" s="74"/>
      <c r="X701" s="74"/>
      <c r="Y701" s="74"/>
      <c r="Z701" s="74"/>
    </row>
    <row r="702">
      <c r="A702" s="74"/>
      <c r="B702" s="73"/>
      <c r="C702" s="73"/>
      <c r="D702" s="73"/>
      <c r="E702" s="73"/>
      <c r="F702" s="74"/>
      <c r="G702" s="74"/>
      <c r="H702" s="74"/>
      <c r="I702" s="74"/>
      <c r="J702" s="74"/>
      <c r="K702" s="74"/>
      <c r="L702" s="74"/>
      <c r="M702" s="74"/>
      <c r="N702" s="74"/>
      <c r="O702" s="74"/>
      <c r="P702" s="74"/>
      <c r="Q702" s="74"/>
      <c r="R702" s="74"/>
      <c r="S702" s="74"/>
      <c r="T702" s="74"/>
      <c r="U702" s="74"/>
      <c r="V702" s="74"/>
      <c r="W702" s="74"/>
      <c r="X702" s="74"/>
      <c r="Y702" s="74"/>
      <c r="Z702" s="74"/>
    </row>
    <row r="703">
      <c r="A703" s="74"/>
      <c r="B703" s="73"/>
      <c r="C703" s="73"/>
      <c r="D703" s="73"/>
      <c r="E703" s="73"/>
      <c r="F703" s="74"/>
      <c r="G703" s="74"/>
      <c r="H703" s="74"/>
      <c r="I703" s="74"/>
      <c r="J703" s="74"/>
      <c r="K703" s="74"/>
      <c r="L703" s="74"/>
      <c r="M703" s="74"/>
      <c r="N703" s="74"/>
      <c r="O703" s="74"/>
      <c r="P703" s="74"/>
      <c r="Q703" s="74"/>
      <c r="R703" s="74"/>
      <c r="S703" s="74"/>
      <c r="T703" s="74"/>
      <c r="U703" s="74"/>
      <c r="V703" s="74"/>
      <c r="W703" s="74"/>
      <c r="X703" s="74"/>
      <c r="Y703" s="74"/>
      <c r="Z703" s="74"/>
    </row>
    <row r="704">
      <c r="A704" s="74"/>
      <c r="B704" s="73"/>
      <c r="C704" s="73"/>
      <c r="D704" s="73"/>
      <c r="E704" s="73"/>
      <c r="F704" s="74"/>
      <c r="G704" s="74"/>
      <c r="H704" s="74"/>
      <c r="I704" s="74"/>
      <c r="J704" s="74"/>
      <c r="K704" s="74"/>
      <c r="L704" s="74"/>
      <c r="M704" s="74"/>
      <c r="N704" s="74"/>
      <c r="O704" s="74"/>
      <c r="P704" s="74"/>
      <c r="Q704" s="74"/>
      <c r="R704" s="74"/>
      <c r="S704" s="74"/>
      <c r="T704" s="74"/>
      <c r="U704" s="74"/>
      <c r="V704" s="74"/>
      <c r="W704" s="74"/>
      <c r="X704" s="74"/>
      <c r="Y704" s="74"/>
      <c r="Z704" s="74"/>
    </row>
    <row r="705">
      <c r="A705" s="74"/>
      <c r="B705" s="73"/>
      <c r="C705" s="73"/>
      <c r="D705" s="73"/>
      <c r="E705" s="73"/>
      <c r="F705" s="74"/>
      <c r="G705" s="74"/>
      <c r="H705" s="74"/>
      <c r="I705" s="74"/>
      <c r="J705" s="74"/>
      <c r="K705" s="74"/>
      <c r="L705" s="74"/>
      <c r="M705" s="74"/>
      <c r="N705" s="74"/>
      <c r="O705" s="74"/>
      <c r="P705" s="74"/>
      <c r="Q705" s="74"/>
      <c r="R705" s="74"/>
      <c r="S705" s="74"/>
      <c r="T705" s="74"/>
      <c r="U705" s="74"/>
      <c r="V705" s="74"/>
      <c r="W705" s="74"/>
      <c r="X705" s="74"/>
      <c r="Y705" s="74"/>
      <c r="Z705" s="74"/>
    </row>
    <row r="706">
      <c r="A706" s="74"/>
      <c r="B706" s="73"/>
      <c r="C706" s="73"/>
      <c r="D706" s="73"/>
      <c r="E706" s="73"/>
      <c r="F706" s="74"/>
      <c r="G706" s="74"/>
      <c r="H706" s="74"/>
      <c r="I706" s="74"/>
      <c r="J706" s="74"/>
      <c r="K706" s="74"/>
      <c r="L706" s="74"/>
      <c r="M706" s="74"/>
      <c r="N706" s="74"/>
      <c r="O706" s="74"/>
      <c r="P706" s="74"/>
      <c r="Q706" s="74"/>
      <c r="R706" s="74"/>
      <c r="S706" s="74"/>
      <c r="T706" s="74"/>
      <c r="U706" s="74"/>
      <c r="V706" s="74"/>
      <c r="W706" s="74"/>
      <c r="X706" s="74"/>
      <c r="Y706" s="74"/>
      <c r="Z706" s="74"/>
    </row>
    <row r="707">
      <c r="A707" s="74"/>
      <c r="B707" s="73"/>
      <c r="C707" s="73"/>
      <c r="D707" s="73"/>
      <c r="E707" s="73"/>
      <c r="F707" s="74"/>
      <c r="G707" s="74"/>
      <c r="H707" s="74"/>
      <c r="I707" s="74"/>
      <c r="J707" s="74"/>
      <c r="K707" s="74"/>
      <c r="L707" s="74"/>
      <c r="M707" s="74"/>
      <c r="N707" s="74"/>
      <c r="O707" s="74"/>
      <c r="P707" s="74"/>
      <c r="Q707" s="74"/>
      <c r="R707" s="74"/>
      <c r="S707" s="74"/>
      <c r="T707" s="74"/>
      <c r="U707" s="74"/>
      <c r="V707" s="74"/>
      <c r="W707" s="74"/>
      <c r="X707" s="74"/>
      <c r="Y707" s="74"/>
      <c r="Z707" s="74"/>
    </row>
    <row r="708">
      <c r="A708" s="74"/>
      <c r="B708" s="73"/>
      <c r="C708" s="73"/>
      <c r="D708" s="73"/>
      <c r="E708" s="73"/>
      <c r="F708" s="74"/>
      <c r="G708" s="74"/>
      <c r="H708" s="74"/>
      <c r="I708" s="74"/>
      <c r="J708" s="74"/>
      <c r="K708" s="74"/>
      <c r="L708" s="74"/>
      <c r="M708" s="74"/>
      <c r="N708" s="74"/>
      <c r="O708" s="74"/>
      <c r="P708" s="74"/>
      <c r="Q708" s="74"/>
      <c r="R708" s="74"/>
      <c r="S708" s="74"/>
      <c r="T708" s="74"/>
      <c r="U708" s="74"/>
      <c r="V708" s="74"/>
      <c r="W708" s="74"/>
      <c r="X708" s="74"/>
      <c r="Y708" s="74"/>
      <c r="Z708" s="74"/>
    </row>
    <row r="709">
      <c r="A709" s="74"/>
      <c r="B709" s="73"/>
      <c r="C709" s="73"/>
      <c r="D709" s="73"/>
      <c r="E709" s="73"/>
      <c r="F709" s="74"/>
      <c r="G709" s="74"/>
      <c r="H709" s="74"/>
      <c r="I709" s="74"/>
      <c r="J709" s="74"/>
      <c r="K709" s="74"/>
      <c r="L709" s="74"/>
      <c r="M709" s="74"/>
      <c r="N709" s="74"/>
      <c r="O709" s="74"/>
      <c r="P709" s="74"/>
      <c r="Q709" s="74"/>
      <c r="R709" s="74"/>
      <c r="S709" s="74"/>
      <c r="T709" s="74"/>
      <c r="U709" s="74"/>
      <c r="V709" s="74"/>
      <c r="W709" s="74"/>
      <c r="X709" s="74"/>
      <c r="Y709" s="74"/>
      <c r="Z709" s="74"/>
    </row>
    <row r="710">
      <c r="A710" s="74"/>
      <c r="B710" s="73"/>
      <c r="C710" s="73"/>
      <c r="D710" s="73"/>
      <c r="E710" s="73"/>
      <c r="F710" s="74"/>
      <c r="G710" s="74"/>
      <c r="H710" s="74"/>
      <c r="I710" s="74"/>
      <c r="J710" s="74"/>
      <c r="K710" s="74"/>
      <c r="L710" s="74"/>
      <c r="M710" s="74"/>
      <c r="N710" s="74"/>
      <c r="O710" s="74"/>
      <c r="P710" s="74"/>
      <c r="Q710" s="74"/>
      <c r="R710" s="74"/>
      <c r="S710" s="74"/>
      <c r="T710" s="74"/>
      <c r="U710" s="74"/>
      <c r="V710" s="74"/>
      <c r="W710" s="74"/>
      <c r="X710" s="74"/>
      <c r="Y710" s="74"/>
      <c r="Z710" s="74"/>
    </row>
    <row r="711">
      <c r="A711" s="74"/>
      <c r="B711" s="73"/>
      <c r="C711" s="73"/>
      <c r="D711" s="73"/>
      <c r="E711" s="73"/>
      <c r="F711" s="74"/>
      <c r="G711" s="74"/>
      <c r="H711" s="74"/>
      <c r="I711" s="74"/>
      <c r="J711" s="74"/>
      <c r="K711" s="74"/>
      <c r="L711" s="74"/>
      <c r="M711" s="74"/>
      <c r="N711" s="74"/>
      <c r="O711" s="74"/>
      <c r="P711" s="74"/>
      <c r="Q711" s="74"/>
      <c r="R711" s="74"/>
      <c r="S711" s="74"/>
      <c r="T711" s="74"/>
      <c r="U711" s="74"/>
      <c r="V711" s="74"/>
      <c r="W711" s="74"/>
      <c r="X711" s="74"/>
      <c r="Y711" s="74"/>
      <c r="Z711" s="74"/>
    </row>
    <row r="712">
      <c r="A712" s="74"/>
      <c r="B712" s="73"/>
      <c r="C712" s="73"/>
      <c r="D712" s="73"/>
      <c r="E712" s="73"/>
      <c r="F712" s="74"/>
      <c r="G712" s="74"/>
      <c r="H712" s="74"/>
      <c r="I712" s="74"/>
      <c r="J712" s="74"/>
      <c r="K712" s="74"/>
      <c r="L712" s="74"/>
      <c r="M712" s="74"/>
      <c r="N712" s="74"/>
      <c r="O712" s="74"/>
      <c r="P712" s="74"/>
      <c r="Q712" s="74"/>
      <c r="R712" s="74"/>
      <c r="S712" s="74"/>
      <c r="T712" s="74"/>
      <c r="U712" s="74"/>
      <c r="V712" s="74"/>
      <c r="W712" s="74"/>
      <c r="X712" s="74"/>
      <c r="Y712" s="74"/>
      <c r="Z712" s="74"/>
    </row>
    <row r="713">
      <c r="A713" s="74"/>
      <c r="B713" s="73"/>
      <c r="C713" s="73"/>
      <c r="D713" s="73"/>
      <c r="E713" s="73"/>
      <c r="F713" s="74"/>
      <c r="G713" s="74"/>
      <c r="H713" s="74"/>
      <c r="I713" s="74"/>
      <c r="J713" s="74"/>
      <c r="K713" s="74"/>
      <c r="L713" s="74"/>
      <c r="M713" s="74"/>
      <c r="N713" s="74"/>
      <c r="O713" s="74"/>
      <c r="P713" s="74"/>
      <c r="Q713" s="74"/>
      <c r="R713" s="74"/>
      <c r="S713" s="74"/>
      <c r="T713" s="74"/>
      <c r="U713" s="74"/>
      <c r="V713" s="74"/>
      <c r="W713" s="74"/>
      <c r="X713" s="74"/>
      <c r="Y713" s="74"/>
      <c r="Z713" s="74"/>
    </row>
    <row r="714">
      <c r="A714" s="74"/>
      <c r="B714" s="73"/>
      <c r="C714" s="73"/>
      <c r="D714" s="73"/>
      <c r="E714" s="73"/>
      <c r="F714" s="74"/>
      <c r="G714" s="74"/>
      <c r="H714" s="74"/>
      <c r="I714" s="74"/>
      <c r="J714" s="74"/>
      <c r="K714" s="74"/>
      <c r="L714" s="74"/>
      <c r="M714" s="74"/>
      <c r="N714" s="74"/>
      <c r="O714" s="74"/>
      <c r="P714" s="74"/>
      <c r="Q714" s="74"/>
      <c r="R714" s="74"/>
      <c r="S714" s="74"/>
      <c r="T714" s="74"/>
      <c r="U714" s="74"/>
      <c r="V714" s="74"/>
      <c r="W714" s="74"/>
      <c r="X714" s="74"/>
      <c r="Y714" s="74"/>
      <c r="Z714" s="74"/>
    </row>
    <row r="715">
      <c r="A715" s="74"/>
      <c r="B715" s="73"/>
      <c r="C715" s="73"/>
      <c r="D715" s="73"/>
      <c r="E715" s="73"/>
      <c r="F715" s="74"/>
      <c r="G715" s="74"/>
      <c r="H715" s="74"/>
      <c r="I715" s="74"/>
      <c r="J715" s="74"/>
      <c r="K715" s="74"/>
      <c r="L715" s="74"/>
      <c r="M715" s="74"/>
      <c r="N715" s="74"/>
      <c r="O715" s="74"/>
      <c r="P715" s="74"/>
      <c r="Q715" s="74"/>
      <c r="R715" s="74"/>
      <c r="S715" s="74"/>
      <c r="T715" s="74"/>
      <c r="U715" s="74"/>
      <c r="V715" s="74"/>
      <c r="W715" s="74"/>
      <c r="X715" s="74"/>
      <c r="Y715" s="74"/>
      <c r="Z715" s="74"/>
    </row>
    <row r="716">
      <c r="A716" s="74"/>
      <c r="B716" s="73"/>
      <c r="C716" s="73"/>
      <c r="D716" s="73"/>
      <c r="E716" s="73"/>
      <c r="F716" s="74"/>
      <c r="G716" s="74"/>
      <c r="H716" s="74"/>
      <c r="I716" s="74"/>
      <c r="J716" s="74"/>
      <c r="K716" s="74"/>
      <c r="L716" s="74"/>
      <c r="M716" s="74"/>
      <c r="N716" s="74"/>
      <c r="O716" s="74"/>
      <c r="P716" s="74"/>
      <c r="Q716" s="74"/>
      <c r="R716" s="74"/>
      <c r="S716" s="74"/>
      <c r="T716" s="74"/>
      <c r="U716" s="74"/>
      <c r="V716" s="74"/>
      <c r="W716" s="74"/>
      <c r="X716" s="74"/>
      <c r="Y716" s="74"/>
      <c r="Z716" s="74"/>
    </row>
    <row r="717">
      <c r="A717" s="74"/>
      <c r="B717" s="73"/>
      <c r="C717" s="73"/>
      <c r="D717" s="73"/>
      <c r="E717" s="73"/>
      <c r="F717" s="74"/>
      <c r="G717" s="74"/>
      <c r="H717" s="74"/>
      <c r="I717" s="74"/>
      <c r="J717" s="74"/>
      <c r="K717" s="74"/>
      <c r="L717" s="74"/>
      <c r="M717" s="74"/>
      <c r="N717" s="74"/>
      <c r="O717" s="74"/>
      <c r="P717" s="74"/>
      <c r="Q717" s="74"/>
      <c r="R717" s="74"/>
      <c r="S717" s="74"/>
      <c r="T717" s="74"/>
      <c r="U717" s="74"/>
      <c r="V717" s="74"/>
      <c r="W717" s="74"/>
      <c r="X717" s="74"/>
      <c r="Y717" s="74"/>
      <c r="Z717" s="74"/>
    </row>
    <row r="718">
      <c r="A718" s="74"/>
      <c r="B718" s="73"/>
      <c r="C718" s="73"/>
      <c r="D718" s="73"/>
      <c r="E718" s="73"/>
      <c r="F718" s="74"/>
      <c r="G718" s="74"/>
      <c r="H718" s="74"/>
      <c r="I718" s="74"/>
      <c r="J718" s="74"/>
      <c r="K718" s="74"/>
      <c r="L718" s="74"/>
      <c r="M718" s="74"/>
      <c r="N718" s="74"/>
      <c r="O718" s="74"/>
      <c r="P718" s="74"/>
      <c r="Q718" s="74"/>
      <c r="R718" s="74"/>
      <c r="S718" s="74"/>
      <c r="T718" s="74"/>
      <c r="U718" s="74"/>
      <c r="V718" s="74"/>
      <c r="W718" s="74"/>
      <c r="X718" s="74"/>
      <c r="Y718" s="74"/>
      <c r="Z718" s="74"/>
    </row>
    <row r="719">
      <c r="A719" s="74"/>
      <c r="B719" s="73"/>
      <c r="C719" s="73"/>
      <c r="D719" s="73"/>
      <c r="E719" s="73"/>
      <c r="F719" s="74"/>
      <c r="G719" s="74"/>
      <c r="H719" s="74"/>
      <c r="I719" s="74"/>
      <c r="J719" s="74"/>
      <c r="K719" s="74"/>
      <c r="L719" s="74"/>
      <c r="M719" s="74"/>
      <c r="N719" s="74"/>
      <c r="O719" s="74"/>
      <c r="P719" s="74"/>
      <c r="Q719" s="74"/>
      <c r="R719" s="74"/>
      <c r="S719" s="74"/>
      <c r="T719" s="74"/>
      <c r="U719" s="74"/>
      <c r="V719" s="74"/>
      <c r="W719" s="74"/>
      <c r="X719" s="74"/>
      <c r="Y719" s="74"/>
      <c r="Z719" s="74"/>
    </row>
    <row r="720">
      <c r="A720" s="74"/>
      <c r="B720" s="73"/>
      <c r="C720" s="73"/>
      <c r="D720" s="73"/>
      <c r="E720" s="73"/>
      <c r="F720" s="74"/>
      <c r="G720" s="74"/>
      <c r="H720" s="74"/>
      <c r="I720" s="74"/>
      <c r="J720" s="74"/>
      <c r="K720" s="74"/>
      <c r="L720" s="74"/>
      <c r="M720" s="74"/>
      <c r="N720" s="74"/>
      <c r="O720" s="74"/>
      <c r="P720" s="74"/>
      <c r="Q720" s="74"/>
      <c r="R720" s="74"/>
      <c r="S720" s="74"/>
      <c r="T720" s="74"/>
      <c r="U720" s="74"/>
      <c r="V720" s="74"/>
      <c r="W720" s="74"/>
      <c r="X720" s="74"/>
      <c r="Y720" s="74"/>
      <c r="Z720" s="74"/>
    </row>
    <row r="721">
      <c r="A721" s="74"/>
      <c r="B721" s="73"/>
      <c r="C721" s="73"/>
      <c r="D721" s="73"/>
      <c r="E721" s="73"/>
      <c r="F721" s="74"/>
      <c r="G721" s="74"/>
      <c r="H721" s="74"/>
      <c r="I721" s="74"/>
      <c r="J721" s="74"/>
      <c r="K721" s="74"/>
      <c r="L721" s="74"/>
      <c r="M721" s="74"/>
      <c r="N721" s="74"/>
      <c r="O721" s="74"/>
      <c r="P721" s="74"/>
      <c r="Q721" s="74"/>
      <c r="R721" s="74"/>
      <c r="S721" s="74"/>
      <c r="T721" s="74"/>
      <c r="U721" s="74"/>
      <c r="V721" s="74"/>
      <c r="W721" s="74"/>
      <c r="X721" s="74"/>
      <c r="Y721" s="74"/>
      <c r="Z721" s="74"/>
    </row>
    <row r="722">
      <c r="A722" s="74"/>
      <c r="B722" s="73"/>
      <c r="C722" s="73"/>
      <c r="D722" s="73"/>
      <c r="E722" s="73"/>
      <c r="F722" s="74"/>
      <c r="G722" s="74"/>
      <c r="H722" s="74"/>
      <c r="I722" s="74"/>
      <c r="J722" s="74"/>
      <c r="K722" s="74"/>
      <c r="L722" s="74"/>
      <c r="M722" s="74"/>
      <c r="N722" s="74"/>
      <c r="O722" s="74"/>
      <c r="P722" s="74"/>
      <c r="Q722" s="74"/>
      <c r="R722" s="74"/>
      <c r="S722" s="74"/>
      <c r="T722" s="74"/>
      <c r="U722" s="74"/>
      <c r="V722" s="74"/>
      <c r="W722" s="74"/>
      <c r="X722" s="74"/>
      <c r="Y722" s="74"/>
      <c r="Z722" s="74"/>
    </row>
    <row r="723">
      <c r="A723" s="74"/>
      <c r="B723" s="73"/>
      <c r="C723" s="73"/>
      <c r="D723" s="73"/>
      <c r="E723" s="73"/>
      <c r="F723" s="74"/>
      <c r="G723" s="74"/>
      <c r="H723" s="74"/>
      <c r="I723" s="74"/>
      <c r="J723" s="74"/>
      <c r="K723" s="74"/>
      <c r="L723" s="74"/>
      <c r="M723" s="74"/>
      <c r="N723" s="74"/>
      <c r="O723" s="74"/>
      <c r="P723" s="74"/>
      <c r="Q723" s="74"/>
      <c r="R723" s="74"/>
      <c r="S723" s="74"/>
      <c r="T723" s="74"/>
      <c r="U723" s="74"/>
      <c r="V723" s="74"/>
      <c r="W723" s="74"/>
      <c r="X723" s="74"/>
      <c r="Y723" s="74"/>
      <c r="Z723" s="74"/>
    </row>
    <row r="724">
      <c r="A724" s="74"/>
      <c r="B724" s="73"/>
      <c r="C724" s="73"/>
      <c r="D724" s="73"/>
      <c r="E724" s="73"/>
      <c r="F724" s="74"/>
      <c r="G724" s="74"/>
      <c r="H724" s="74"/>
      <c r="I724" s="74"/>
      <c r="J724" s="74"/>
      <c r="K724" s="74"/>
      <c r="L724" s="74"/>
      <c r="M724" s="74"/>
      <c r="N724" s="74"/>
      <c r="O724" s="74"/>
      <c r="P724" s="74"/>
      <c r="Q724" s="74"/>
      <c r="R724" s="74"/>
      <c r="S724" s="74"/>
      <c r="T724" s="74"/>
      <c r="U724" s="74"/>
      <c r="V724" s="74"/>
      <c r="W724" s="74"/>
      <c r="X724" s="74"/>
      <c r="Y724" s="74"/>
      <c r="Z724" s="74"/>
    </row>
    <row r="725">
      <c r="A725" s="74"/>
      <c r="B725" s="73"/>
      <c r="C725" s="73"/>
      <c r="D725" s="73"/>
      <c r="E725" s="73"/>
      <c r="F725" s="74"/>
      <c r="G725" s="74"/>
      <c r="H725" s="74"/>
      <c r="I725" s="74"/>
      <c r="J725" s="74"/>
      <c r="K725" s="74"/>
      <c r="L725" s="74"/>
      <c r="M725" s="74"/>
      <c r="N725" s="74"/>
      <c r="O725" s="74"/>
      <c r="P725" s="74"/>
      <c r="Q725" s="74"/>
      <c r="R725" s="74"/>
      <c r="S725" s="74"/>
      <c r="T725" s="74"/>
      <c r="U725" s="74"/>
      <c r="V725" s="74"/>
      <c r="W725" s="74"/>
      <c r="X725" s="74"/>
      <c r="Y725" s="74"/>
      <c r="Z725" s="74"/>
    </row>
    <row r="726">
      <c r="A726" s="74"/>
      <c r="B726" s="73"/>
      <c r="C726" s="73"/>
      <c r="D726" s="73"/>
      <c r="E726" s="73"/>
      <c r="F726" s="74"/>
      <c r="G726" s="74"/>
      <c r="H726" s="74"/>
      <c r="I726" s="74"/>
      <c r="J726" s="74"/>
      <c r="K726" s="74"/>
      <c r="L726" s="74"/>
      <c r="M726" s="74"/>
      <c r="N726" s="74"/>
      <c r="O726" s="74"/>
      <c r="P726" s="74"/>
      <c r="Q726" s="74"/>
      <c r="R726" s="74"/>
      <c r="S726" s="74"/>
      <c r="T726" s="74"/>
      <c r="U726" s="74"/>
      <c r="V726" s="74"/>
      <c r="W726" s="74"/>
      <c r="X726" s="74"/>
      <c r="Y726" s="74"/>
      <c r="Z726" s="74"/>
    </row>
    <row r="727">
      <c r="A727" s="74"/>
      <c r="B727" s="73"/>
      <c r="C727" s="73"/>
      <c r="D727" s="73"/>
      <c r="E727" s="73"/>
      <c r="F727" s="74"/>
      <c r="G727" s="74"/>
      <c r="H727" s="74"/>
      <c r="I727" s="74"/>
      <c r="J727" s="74"/>
      <c r="K727" s="74"/>
      <c r="L727" s="74"/>
      <c r="M727" s="74"/>
      <c r="N727" s="74"/>
      <c r="O727" s="74"/>
      <c r="P727" s="74"/>
      <c r="Q727" s="74"/>
      <c r="R727" s="74"/>
      <c r="S727" s="74"/>
      <c r="T727" s="74"/>
      <c r="U727" s="74"/>
      <c r="V727" s="74"/>
      <c r="W727" s="74"/>
      <c r="X727" s="74"/>
      <c r="Y727" s="74"/>
      <c r="Z727" s="74"/>
    </row>
    <row r="728">
      <c r="A728" s="74"/>
      <c r="B728" s="73"/>
      <c r="C728" s="73"/>
      <c r="D728" s="73"/>
      <c r="E728" s="73"/>
      <c r="F728" s="74"/>
      <c r="G728" s="74"/>
      <c r="H728" s="74"/>
      <c r="I728" s="74"/>
      <c r="J728" s="74"/>
      <c r="K728" s="74"/>
      <c r="L728" s="74"/>
      <c r="M728" s="74"/>
      <c r="N728" s="74"/>
      <c r="O728" s="74"/>
      <c r="P728" s="74"/>
      <c r="Q728" s="74"/>
      <c r="R728" s="74"/>
      <c r="S728" s="74"/>
      <c r="T728" s="74"/>
      <c r="U728" s="74"/>
      <c r="V728" s="74"/>
      <c r="W728" s="74"/>
      <c r="X728" s="74"/>
      <c r="Y728" s="74"/>
      <c r="Z728" s="74"/>
    </row>
    <row r="729">
      <c r="A729" s="74"/>
      <c r="B729" s="73"/>
      <c r="C729" s="73"/>
      <c r="D729" s="73"/>
      <c r="E729" s="73"/>
      <c r="F729" s="74"/>
      <c r="G729" s="74"/>
      <c r="H729" s="74"/>
      <c r="I729" s="74"/>
      <c r="J729" s="74"/>
      <c r="K729" s="74"/>
      <c r="L729" s="74"/>
      <c r="M729" s="74"/>
      <c r="N729" s="74"/>
      <c r="O729" s="74"/>
      <c r="P729" s="74"/>
      <c r="Q729" s="74"/>
      <c r="R729" s="74"/>
      <c r="S729" s="74"/>
      <c r="T729" s="74"/>
      <c r="U729" s="74"/>
      <c r="V729" s="74"/>
      <c r="W729" s="74"/>
      <c r="X729" s="74"/>
      <c r="Y729" s="74"/>
      <c r="Z729" s="74"/>
    </row>
    <row r="730">
      <c r="A730" s="74"/>
      <c r="B730" s="73"/>
      <c r="C730" s="73"/>
      <c r="D730" s="73"/>
      <c r="E730" s="73"/>
      <c r="F730" s="74"/>
      <c r="G730" s="74"/>
      <c r="H730" s="74"/>
      <c r="I730" s="74"/>
      <c r="J730" s="74"/>
      <c r="K730" s="74"/>
      <c r="L730" s="74"/>
      <c r="M730" s="74"/>
      <c r="N730" s="74"/>
      <c r="O730" s="74"/>
      <c r="P730" s="74"/>
      <c r="Q730" s="74"/>
      <c r="R730" s="74"/>
      <c r="S730" s="74"/>
      <c r="T730" s="74"/>
      <c r="U730" s="74"/>
      <c r="V730" s="74"/>
      <c r="W730" s="74"/>
      <c r="X730" s="74"/>
      <c r="Y730" s="74"/>
      <c r="Z730" s="74"/>
    </row>
    <row r="731">
      <c r="A731" s="74"/>
      <c r="B731" s="73"/>
      <c r="C731" s="73"/>
      <c r="D731" s="73"/>
      <c r="E731" s="73"/>
      <c r="F731" s="74"/>
      <c r="G731" s="74"/>
      <c r="H731" s="74"/>
      <c r="I731" s="74"/>
      <c r="J731" s="74"/>
      <c r="K731" s="74"/>
      <c r="L731" s="74"/>
      <c r="M731" s="74"/>
      <c r="N731" s="74"/>
      <c r="O731" s="74"/>
      <c r="P731" s="74"/>
      <c r="Q731" s="74"/>
      <c r="R731" s="74"/>
      <c r="S731" s="74"/>
      <c r="T731" s="74"/>
      <c r="U731" s="74"/>
      <c r="V731" s="74"/>
      <c r="W731" s="74"/>
      <c r="X731" s="74"/>
      <c r="Y731" s="74"/>
      <c r="Z731" s="74"/>
    </row>
    <row r="732">
      <c r="A732" s="74"/>
      <c r="B732" s="73"/>
      <c r="C732" s="73"/>
      <c r="D732" s="73"/>
      <c r="E732" s="73"/>
      <c r="F732" s="74"/>
      <c r="G732" s="74"/>
      <c r="H732" s="74"/>
      <c r="I732" s="74"/>
      <c r="J732" s="74"/>
      <c r="K732" s="74"/>
      <c r="L732" s="74"/>
      <c r="M732" s="74"/>
      <c r="N732" s="74"/>
      <c r="O732" s="74"/>
      <c r="P732" s="74"/>
      <c r="Q732" s="74"/>
      <c r="R732" s="74"/>
      <c r="S732" s="74"/>
      <c r="T732" s="74"/>
      <c r="U732" s="74"/>
      <c r="V732" s="74"/>
      <c r="W732" s="74"/>
      <c r="X732" s="74"/>
      <c r="Y732" s="74"/>
      <c r="Z732" s="74"/>
    </row>
    <row r="733">
      <c r="A733" s="74"/>
      <c r="B733" s="73"/>
      <c r="C733" s="73"/>
      <c r="D733" s="73"/>
      <c r="E733" s="73"/>
      <c r="F733" s="74"/>
      <c r="G733" s="74"/>
      <c r="H733" s="74"/>
      <c r="I733" s="74"/>
      <c r="J733" s="74"/>
      <c r="K733" s="74"/>
      <c r="L733" s="74"/>
      <c r="M733" s="74"/>
      <c r="N733" s="74"/>
      <c r="O733" s="74"/>
      <c r="P733" s="74"/>
      <c r="Q733" s="74"/>
      <c r="R733" s="74"/>
      <c r="S733" s="74"/>
      <c r="T733" s="74"/>
      <c r="U733" s="74"/>
      <c r="V733" s="74"/>
      <c r="W733" s="74"/>
      <c r="X733" s="74"/>
      <c r="Y733" s="74"/>
      <c r="Z733" s="74"/>
    </row>
    <row r="734">
      <c r="A734" s="74"/>
      <c r="B734" s="73"/>
      <c r="C734" s="73"/>
      <c r="D734" s="73"/>
      <c r="E734" s="73"/>
      <c r="F734" s="74"/>
      <c r="G734" s="74"/>
      <c r="H734" s="74"/>
      <c r="I734" s="74"/>
      <c r="J734" s="74"/>
      <c r="K734" s="74"/>
      <c r="L734" s="74"/>
      <c r="M734" s="74"/>
      <c r="N734" s="74"/>
      <c r="O734" s="74"/>
      <c r="P734" s="74"/>
      <c r="Q734" s="74"/>
      <c r="R734" s="74"/>
      <c r="S734" s="74"/>
      <c r="T734" s="74"/>
      <c r="U734" s="74"/>
      <c r="V734" s="74"/>
      <c r="W734" s="74"/>
      <c r="X734" s="74"/>
      <c r="Y734" s="74"/>
      <c r="Z734" s="74"/>
    </row>
    <row r="735">
      <c r="A735" s="74"/>
      <c r="B735" s="73"/>
      <c r="C735" s="73"/>
      <c r="D735" s="73"/>
      <c r="E735" s="73"/>
      <c r="F735" s="74"/>
      <c r="G735" s="74"/>
      <c r="H735" s="74"/>
      <c r="I735" s="74"/>
      <c r="J735" s="74"/>
      <c r="K735" s="74"/>
      <c r="L735" s="74"/>
      <c r="M735" s="74"/>
      <c r="N735" s="74"/>
      <c r="O735" s="74"/>
      <c r="P735" s="74"/>
      <c r="Q735" s="74"/>
      <c r="R735" s="74"/>
      <c r="S735" s="74"/>
      <c r="T735" s="74"/>
      <c r="U735" s="74"/>
      <c r="V735" s="74"/>
      <c r="W735" s="74"/>
      <c r="X735" s="74"/>
      <c r="Y735" s="74"/>
      <c r="Z735" s="74"/>
    </row>
    <row r="736">
      <c r="A736" s="74"/>
      <c r="B736" s="73"/>
      <c r="C736" s="73"/>
      <c r="D736" s="73"/>
      <c r="E736" s="73"/>
      <c r="F736" s="74"/>
      <c r="G736" s="74"/>
      <c r="H736" s="74"/>
      <c r="I736" s="74"/>
      <c r="J736" s="74"/>
      <c r="K736" s="74"/>
      <c r="L736" s="74"/>
      <c r="M736" s="74"/>
      <c r="N736" s="74"/>
      <c r="O736" s="74"/>
      <c r="P736" s="74"/>
      <c r="Q736" s="74"/>
      <c r="R736" s="74"/>
      <c r="S736" s="74"/>
      <c r="T736" s="74"/>
      <c r="U736" s="74"/>
      <c r="V736" s="74"/>
      <c r="W736" s="74"/>
      <c r="X736" s="74"/>
      <c r="Y736" s="74"/>
      <c r="Z736" s="74"/>
    </row>
    <row r="737">
      <c r="A737" s="74"/>
      <c r="B737" s="73"/>
      <c r="C737" s="73"/>
      <c r="D737" s="73"/>
      <c r="E737" s="73"/>
      <c r="F737" s="74"/>
      <c r="G737" s="74"/>
      <c r="H737" s="74"/>
      <c r="I737" s="74"/>
      <c r="J737" s="74"/>
      <c r="K737" s="74"/>
      <c r="L737" s="74"/>
      <c r="M737" s="74"/>
      <c r="N737" s="74"/>
      <c r="O737" s="74"/>
      <c r="P737" s="74"/>
      <c r="Q737" s="74"/>
      <c r="R737" s="74"/>
      <c r="S737" s="74"/>
      <c r="T737" s="74"/>
      <c r="U737" s="74"/>
      <c r="V737" s="74"/>
      <c r="W737" s="74"/>
      <c r="X737" s="74"/>
      <c r="Y737" s="74"/>
      <c r="Z737" s="74"/>
    </row>
    <row r="738">
      <c r="A738" s="74"/>
      <c r="B738" s="73"/>
      <c r="C738" s="73"/>
      <c r="D738" s="73"/>
      <c r="E738" s="73"/>
      <c r="F738" s="74"/>
      <c r="G738" s="74"/>
      <c r="H738" s="74"/>
      <c r="I738" s="74"/>
      <c r="J738" s="74"/>
      <c r="K738" s="74"/>
      <c r="L738" s="74"/>
      <c r="M738" s="74"/>
      <c r="N738" s="74"/>
      <c r="O738" s="74"/>
      <c r="P738" s="74"/>
      <c r="Q738" s="74"/>
      <c r="R738" s="74"/>
      <c r="S738" s="74"/>
      <c r="T738" s="74"/>
      <c r="U738" s="74"/>
      <c r="V738" s="74"/>
      <c r="W738" s="74"/>
      <c r="X738" s="74"/>
      <c r="Y738" s="74"/>
      <c r="Z738" s="74"/>
    </row>
    <row r="739">
      <c r="A739" s="74"/>
      <c r="B739" s="73"/>
      <c r="C739" s="73"/>
      <c r="D739" s="73"/>
      <c r="E739" s="73"/>
      <c r="F739" s="74"/>
      <c r="G739" s="74"/>
      <c r="H739" s="74"/>
      <c r="I739" s="74"/>
      <c r="J739" s="74"/>
      <c r="K739" s="74"/>
      <c r="L739" s="74"/>
      <c r="M739" s="74"/>
      <c r="N739" s="74"/>
      <c r="O739" s="74"/>
      <c r="P739" s="74"/>
      <c r="Q739" s="74"/>
      <c r="R739" s="74"/>
      <c r="S739" s="74"/>
      <c r="T739" s="74"/>
      <c r="U739" s="74"/>
      <c r="V739" s="74"/>
      <c r="W739" s="74"/>
      <c r="X739" s="74"/>
      <c r="Y739" s="74"/>
      <c r="Z739" s="74"/>
    </row>
    <row r="740">
      <c r="A740" s="74"/>
      <c r="B740" s="73"/>
      <c r="C740" s="73"/>
      <c r="D740" s="73"/>
      <c r="E740" s="73"/>
      <c r="F740" s="74"/>
      <c r="G740" s="74"/>
      <c r="H740" s="74"/>
      <c r="I740" s="74"/>
      <c r="J740" s="74"/>
      <c r="K740" s="74"/>
      <c r="L740" s="74"/>
      <c r="M740" s="74"/>
      <c r="N740" s="74"/>
      <c r="O740" s="74"/>
      <c r="P740" s="74"/>
      <c r="Q740" s="74"/>
      <c r="R740" s="74"/>
      <c r="S740" s="74"/>
      <c r="T740" s="74"/>
      <c r="U740" s="74"/>
      <c r="V740" s="74"/>
      <c r="W740" s="74"/>
      <c r="X740" s="74"/>
      <c r="Y740" s="74"/>
      <c r="Z740" s="74"/>
    </row>
    <row r="741">
      <c r="A741" s="74"/>
      <c r="B741" s="73"/>
      <c r="C741" s="73"/>
      <c r="D741" s="73"/>
      <c r="E741" s="73"/>
      <c r="F741" s="74"/>
      <c r="G741" s="74"/>
      <c r="H741" s="74"/>
      <c r="I741" s="74"/>
      <c r="J741" s="74"/>
      <c r="K741" s="74"/>
      <c r="L741" s="74"/>
      <c r="M741" s="74"/>
      <c r="N741" s="74"/>
      <c r="O741" s="74"/>
      <c r="P741" s="74"/>
      <c r="Q741" s="74"/>
      <c r="R741" s="74"/>
      <c r="S741" s="74"/>
      <c r="T741" s="74"/>
      <c r="U741" s="74"/>
      <c r="V741" s="74"/>
      <c r="W741" s="74"/>
      <c r="X741" s="74"/>
      <c r="Y741" s="74"/>
      <c r="Z741" s="74"/>
    </row>
    <row r="742">
      <c r="A742" s="74"/>
      <c r="B742" s="73"/>
      <c r="C742" s="73"/>
      <c r="D742" s="73"/>
      <c r="E742" s="73"/>
      <c r="F742" s="74"/>
      <c r="G742" s="74"/>
      <c r="H742" s="74"/>
      <c r="I742" s="74"/>
      <c r="J742" s="74"/>
      <c r="K742" s="74"/>
      <c r="L742" s="74"/>
      <c r="M742" s="74"/>
      <c r="N742" s="74"/>
      <c r="O742" s="74"/>
      <c r="P742" s="74"/>
      <c r="Q742" s="74"/>
      <c r="R742" s="74"/>
      <c r="S742" s="74"/>
      <c r="T742" s="74"/>
      <c r="U742" s="74"/>
      <c r="V742" s="74"/>
      <c r="W742" s="74"/>
      <c r="X742" s="74"/>
      <c r="Y742" s="74"/>
      <c r="Z742" s="74"/>
    </row>
    <row r="743">
      <c r="A743" s="74"/>
      <c r="B743" s="73"/>
      <c r="C743" s="73"/>
      <c r="D743" s="73"/>
      <c r="E743" s="73"/>
      <c r="F743" s="74"/>
      <c r="G743" s="74"/>
      <c r="H743" s="74"/>
      <c r="I743" s="74"/>
      <c r="J743" s="74"/>
      <c r="K743" s="74"/>
      <c r="L743" s="74"/>
      <c r="M743" s="74"/>
      <c r="N743" s="74"/>
      <c r="O743" s="74"/>
      <c r="P743" s="74"/>
      <c r="Q743" s="74"/>
      <c r="R743" s="74"/>
      <c r="S743" s="74"/>
      <c r="T743" s="74"/>
      <c r="U743" s="74"/>
      <c r="V743" s="74"/>
      <c r="W743" s="74"/>
      <c r="X743" s="74"/>
      <c r="Y743" s="74"/>
      <c r="Z743" s="74"/>
    </row>
    <row r="744">
      <c r="A744" s="74"/>
      <c r="B744" s="73"/>
      <c r="C744" s="73"/>
      <c r="D744" s="73"/>
      <c r="E744" s="73"/>
      <c r="F744" s="74"/>
      <c r="G744" s="74"/>
      <c r="H744" s="74"/>
      <c r="I744" s="74"/>
      <c r="J744" s="74"/>
      <c r="K744" s="74"/>
      <c r="L744" s="74"/>
      <c r="M744" s="74"/>
      <c r="N744" s="74"/>
      <c r="O744" s="74"/>
      <c r="P744" s="74"/>
      <c r="Q744" s="74"/>
      <c r="R744" s="74"/>
      <c r="S744" s="74"/>
      <c r="T744" s="74"/>
      <c r="U744" s="74"/>
      <c r="V744" s="74"/>
      <c r="W744" s="74"/>
      <c r="X744" s="74"/>
      <c r="Y744" s="74"/>
      <c r="Z744" s="74"/>
    </row>
    <row r="745">
      <c r="A745" s="74"/>
      <c r="B745" s="73"/>
      <c r="C745" s="73"/>
      <c r="D745" s="73"/>
      <c r="E745" s="73"/>
      <c r="F745" s="74"/>
      <c r="G745" s="74"/>
      <c r="H745" s="74"/>
      <c r="I745" s="74"/>
      <c r="J745" s="74"/>
      <c r="K745" s="74"/>
      <c r="L745" s="74"/>
      <c r="M745" s="74"/>
      <c r="N745" s="74"/>
      <c r="O745" s="74"/>
      <c r="P745" s="74"/>
      <c r="Q745" s="74"/>
      <c r="R745" s="74"/>
      <c r="S745" s="74"/>
      <c r="T745" s="74"/>
      <c r="U745" s="74"/>
      <c r="V745" s="74"/>
      <c r="W745" s="74"/>
      <c r="X745" s="74"/>
      <c r="Y745" s="74"/>
      <c r="Z745" s="74"/>
    </row>
    <row r="746">
      <c r="A746" s="74"/>
      <c r="B746" s="73"/>
      <c r="C746" s="73"/>
      <c r="D746" s="73"/>
      <c r="E746" s="73"/>
      <c r="F746" s="74"/>
      <c r="G746" s="74"/>
      <c r="H746" s="74"/>
      <c r="I746" s="74"/>
      <c r="J746" s="74"/>
      <c r="K746" s="74"/>
      <c r="L746" s="74"/>
      <c r="M746" s="74"/>
      <c r="N746" s="74"/>
      <c r="O746" s="74"/>
      <c r="P746" s="74"/>
      <c r="Q746" s="74"/>
      <c r="R746" s="74"/>
      <c r="S746" s="74"/>
      <c r="T746" s="74"/>
      <c r="U746" s="74"/>
      <c r="V746" s="74"/>
      <c r="W746" s="74"/>
      <c r="X746" s="74"/>
      <c r="Y746" s="74"/>
      <c r="Z746" s="74"/>
    </row>
    <row r="747">
      <c r="A747" s="74"/>
      <c r="B747" s="73"/>
      <c r="C747" s="73"/>
      <c r="D747" s="73"/>
      <c r="E747" s="73"/>
      <c r="F747" s="74"/>
      <c r="G747" s="74"/>
      <c r="H747" s="74"/>
      <c r="I747" s="74"/>
      <c r="J747" s="74"/>
      <c r="K747" s="74"/>
      <c r="L747" s="74"/>
      <c r="M747" s="74"/>
      <c r="N747" s="74"/>
      <c r="O747" s="74"/>
      <c r="P747" s="74"/>
      <c r="Q747" s="74"/>
      <c r="R747" s="74"/>
      <c r="S747" s="74"/>
      <c r="T747" s="74"/>
      <c r="U747" s="74"/>
      <c r="V747" s="74"/>
      <c r="W747" s="74"/>
      <c r="X747" s="74"/>
      <c r="Y747" s="74"/>
      <c r="Z747" s="74"/>
    </row>
    <row r="748">
      <c r="A748" s="74"/>
      <c r="B748" s="73"/>
      <c r="C748" s="73"/>
      <c r="D748" s="73"/>
      <c r="E748" s="73"/>
      <c r="F748" s="74"/>
      <c r="G748" s="74"/>
      <c r="H748" s="74"/>
      <c r="I748" s="74"/>
      <c r="J748" s="74"/>
      <c r="K748" s="74"/>
      <c r="L748" s="74"/>
      <c r="M748" s="74"/>
      <c r="N748" s="74"/>
      <c r="O748" s="74"/>
      <c r="P748" s="74"/>
      <c r="Q748" s="74"/>
      <c r="R748" s="74"/>
      <c r="S748" s="74"/>
      <c r="T748" s="74"/>
      <c r="U748" s="74"/>
      <c r="V748" s="74"/>
      <c r="W748" s="74"/>
      <c r="X748" s="74"/>
      <c r="Y748" s="74"/>
      <c r="Z748" s="74"/>
    </row>
    <row r="749">
      <c r="A749" s="74"/>
      <c r="B749" s="73"/>
      <c r="C749" s="73"/>
      <c r="D749" s="73"/>
      <c r="E749" s="73"/>
      <c r="F749" s="74"/>
      <c r="G749" s="74"/>
      <c r="H749" s="74"/>
      <c r="I749" s="74"/>
      <c r="J749" s="74"/>
      <c r="K749" s="74"/>
      <c r="L749" s="74"/>
      <c r="M749" s="74"/>
      <c r="N749" s="74"/>
      <c r="O749" s="74"/>
      <c r="P749" s="74"/>
      <c r="Q749" s="74"/>
      <c r="R749" s="74"/>
      <c r="S749" s="74"/>
      <c r="T749" s="74"/>
      <c r="U749" s="74"/>
      <c r="V749" s="74"/>
      <c r="W749" s="74"/>
      <c r="X749" s="74"/>
      <c r="Y749" s="74"/>
      <c r="Z749" s="74"/>
    </row>
    <row r="750">
      <c r="A750" s="74"/>
      <c r="B750" s="73"/>
      <c r="C750" s="73"/>
      <c r="D750" s="73"/>
      <c r="E750" s="73"/>
      <c r="F750" s="74"/>
      <c r="G750" s="74"/>
      <c r="H750" s="74"/>
      <c r="I750" s="74"/>
      <c r="J750" s="74"/>
      <c r="K750" s="74"/>
      <c r="L750" s="74"/>
      <c r="M750" s="74"/>
      <c r="N750" s="74"/>
      <c r="O750" s="74"/>
      <c r="P750" s="74"/>
      <c r="Q750" s="74"/>
      <c r="R750" s="74"/>
      <c r="S750" s="74"/>
      <c r="T750" s="74"/>
      <c r="U750" s="74"/>
      <c r="V750" s="74"/>
      <c r="W750" s="74"/>
      <c r="X750" s="74"/>
      <c r="Y750" s="74"/>
      <c r="Z750" s="74"/>
    </row>
    <row r="751">
      <c r="A751" s="74"/>
      <c r="B751" s="73"/>
      <c r="C751" s="73"/>
      <c r="D751" s="73"/>
      <c r="E751" s="73"/>
      <c r="F751" s="74"/>
      <c r="G751" s="74"/>
      <c r="H751" s="74"/>
      <c r="I751" s="74"/>
      <c r="J751" s="74"/>
      <c r="K751" s="74"/>
      <c r="L751" s="74"/>
      <c r="M751" s="74"/>
      <c r="N751" s="74"/>
      <c r="O751" s="74"/>
      <c r="P751" s="74"/>
      <c r="Q751" s="74"/>
      <c r="R751" s="74"/>
      <c r="S751" s="74"/>
      <c r="T751" s="74"/>
      <c r="U751" s="74"/>
      <c r="V751" s="74"/>
      <c r="W751" s="74"/>
      <c r="X751" s="74"/>
      <c r="Y751" s="74"/>
      <c r="Z751" s="74"/>
    </row>
    <row r="752">
      <c r="A752" s="74"/>
      <c r="B752" s="73"/>
      <c r="C752" s="73"/>
      <c r="D752" s="73"/>
      <c r="E752" s="73"/>
      <c r="F752" s="74"/>
      <c r="G752" s="74"/>
      <c r="H752" s="74"/>
      <c r="I752" s="74"/>
      <c r="J752" s="74"/>
      <c r="K752" s="74"/>
      <c r="L752" s="74"/>
      <c r="M752" s="74"/>
      <c r="N752" s="74"/>
      <c r="O752" s="74"/>
      <c r="P752" s="74"/>
      <c r="Q752" s="74"/>
      <c r="R752" s="74"/>
      <c r="S752" s="74"/>
      <c r="T752" s="74"/>
      <c r="U752" s="74"/>
      <c r="V752" s="74"/>
      <c r="W752" s="74"/>
      <c r="X752" s="74"/>
      <c r="Y752" s="74"/>
      <c r="Z752" s="74"/>
    </row>
    <row r="753">
      <c r="A753" s="74"/>
      <c r="B753" s="73"/>
      <c r="C753" s="73"/>
      <c r="D753" s="73"/>
      <c r="E753" s="73"/>
      <c r="F753" s="74"/>
      <c r="G753" s="74"/>
      <c r="H753" s="74"/>
      <c r="I753" s="74"/>
      <c r="J753" s="74"/>
      <c r="K753" s="74"/>
      <c r="L753" s="74"/>
      <c r="M753" s="74"/>
      <c r="N753" s="74"/>
      <c r="O753" s="74"/>
      <c r="P753" s="74"/>
      <c r="Q753" s="74"/>
      <c r="R753" s="74"/>
      <c r="S753" s="74"/>
      <c r="T753" s="74"/>
      <c r="U753" s="74"/>
      <c r="V753" s="74"/>
      <c r="W753" s="74"/>
      <c r="X753" s="74"/>
      <c r="Y753" s="74"/>
      <c r="Z753" s="74"/>
    </row>
    <row r="754">
      <c r="A754" s="74"/>
      <c r="B754" s="73"/>
      <c r="C754" s="73"/>
      <c r="D754" s="73"/>
      <c r="E754" s="73"/>
      <c r="F754" s="74"/>
      <c r="G754" s="74"/>
      <c r="H754" s="74"/>
      <c r="I754" s="74"/>
      <c r="J754" s="74"/>
      <c r="K754" s="74"/>
      <c r="L754" s="74"/>
      <c r="M754" s="74"/>
      <c r="N754" s="74"/>
      <c r="O754" s="74"/>
      <c r="P754" s="74"/>
      <c r="Q754" s="74"/>
      <c r="R754" s="74"/>
      <c r="S754" s="74"/>
      <c r="T754" s="74"/>
      <c r="U754" s="74"/>
      <c r="V754" s="74"/>
      <c r="W754" s="74"/>
      <c r="X754" s="74"/>
      <c r="Y754" s="74"/>
      <c r="Z754" s="74"/>
    </row>
    <row r="755">
      <c r="A755" s="74"/>
      <c r="B755" s="73"/>
      <c r="C755" s="73"/>
      <c r="D755" s="73"/>
      <c r="E755" s="73"/>
      <c r="F755" s="74"/>
      <c r="G755" s="74"/>
      <c r="H755" s="74"/>
      <c r="I755" s="74"/>
      <c r="J755" s="74"/>
      <c r="K755" s="74"/>
      <c r="L755" s="74"/>
      <c r="M755" s="74"/>
      <c r="N755" s="74"/>
      <c r="O755" s="74"/>
      <c r="P755" s="74"/>
      <c r="Q755" s="74"/>
      <c r="R755" s="74"/>
      <c r="S755" s="74"/>
      <c r="T755" s="74"/>
      <c r="U755" s="74"/>
      <c r="V755" s="74"/>
      <c r="W755" s="74"/>
      <c r="X755" s="74"/>
      <c r="Y755" s="74"/>
      <c r="Z755" s="74"/>
    </row>
    <row r="756">
      <c r="A756" s="74"/>
      <c r="B756" s="73"/>
      <c r="C756" s="73"/>
      <c r="D756" s="73"/>
      <c r="E756" s="73"/>
      <c r="F756" s="74"/>
      <c r="G756" s="74"/>
      <c r="H756" s="74"/>
      <c r="I756" s="74"/>
      <c r="J756" s="74"/>
      <c r="K756" s="74"/>
      <c r="L756" s="74"/>
      <c r="M756" s="74"/>
      <c r="N756" s="74"/>
      <c r="O756" s="74"/>
      <c r="P756" s="74"/>
      <c r="Q756" s="74"/>
      <c r="R756" s="74"/>
      <c r="S756" s="74"/>
      <c r="T756" s="74"/>
      <c r="U756" s="74"/>
      <c r="V756" s="74"/>
      <c r="W756" s="74"/>
      <c r="X756" s="74"/>
      <c r="Y756" s="74"/>
      <c r="Z756" s="74"/>
    </row>
    <row r="757">
      <c r="A757" s="74"/>
      <c r="B757" s="73"/>
      <c r="C757" s="73"/>
      <c r="D757" s="73"/>
      <c r="E757" s="73"/>
      <c r="F757" s="74"/>
      <c r="G757" s="74"/>
      <c r="H757" s="74"/>
      <c r="I757" s="74"/>
      <c r="J757" s="74"/>
      <c r="K757" s="74"/>
      <c r="L757" s="74"/>
      <c r="M757" s="74"/>
      <c r="N757" s="74"/>
      <c r="O757" s="74"/>
      <c r="P757" s="74"/>
      <c r="Q757" s="74"/>
      <c r="R757" s="74"/>
      <c r="S757" s="74"/>
      <c r="T757" s="74"/>
      <c r="U757" s="74"/>
      <c r="V757" s="74"/>
      <c r="W757" s="74"/>
      <c r="X757" s="74"/>
      <c r="Y757" s="74"/>
      <c r="Z757" s="74"/>
    </row>
    <row r="758">
      <c r="A758" s="74"/>
      <c r="B758" s="73"/>
      <c r="C758" s="73"/>
      <c r="D758" s="73"/>
      <c r="E758" s="73"/>
      <c r="F758" s="74"/>
      <c r="G758" s="74"/>
      <c r="H758" s="74"/>
      <c r="I758" s="74"/>
      <c r="J758" s="74"/>
      <c r="K758" s="74"/>
      <c r="L758" s="74"/>
      <c r="M758" s="74"/>
      <c r="N758" s="74"/>
      <c r="O758" s="74"/>
      <c r="P758" s="74"/>
      <c r="Q758" s="74"/>
      <c r="R758" s="74"/>
      <c r="S758" s="74"/>
      <c r="T758" s="74"/>
      <c r="U758" s="74"/>
      <c r="V758" s="74"/>
      <c r="W758" s="74"/>
      <c r="X758" s="74"/>
      <c r="Y758" s="74"/>
      <c r="Z758" s="74"/>
    </row>
    <row r="759">
      <c r="A759" s="74"/>
      <c r="B759" s="73"/>
      <c r="C759" s="73"/>
      <c r="D759" s="73"/>
      <c r="E759" s="73"/>
      <c r="F759" s="74"/>
      <c r="G759" s="74"/>
      <c r="H759" s="74"/>
      <c r="I759" s="74"/>
      <c r="J759" s="74"/>
      <c r="K759" s="74"/>
      <c r="L759" s="74"/>
      <c r="M759" s="74"/>
      <c r="N759" s="74"/>
      <c r="O759" s="74"/>
      <c r="P759" s="74"/>
      <c r="Q759" s="74"/>
      <c r="R759" s="74"/>
      <c r="S759" s="74"/>
      <c r="T759" s="74"/>
      <c r="U759" s="74"/>
      <c r="V759" s="74"/>
      <c r="W759" s="74"/>
      <c r="X759" s="74"/>
      <c r="Y759" s="74"/>
      <c r="Z759" s="74"/>
    </row>
    <row r="760">
      <c r="A760" s="74"/>
      <c r="B760" s="73"/>
      <c r="C760" s="73"/>
      <c r="D760" s="73"/>
      <c r="E760" s="73"/>
      <c r="F760" s="74"/>
      <c r="G760" s="74"/>
      <c r="H760" s="74"/>
      <c r="I760" s="74"/>
      <c r="J760" s="74"/>
      <c r="K760" s="74"/>
      <c r="L760" s="74"/>
      <c r="M760" s="74"/>
      <c r="N760" s="74"/>
      <c r="O760" s="74"/>
      <c r="P760" s="74"/>
      <c r="Q760" s="74"/>
      <c r="R760" s="74"/>
      <c r="S760" s="74"/>
      <c r="T760" s="74"/>
      <c r="U760" s="74"/>
      <c r="V760" s="74"/>
      <c r="W760" s="74"/>
      <c r="X760" s="74"/>
      <c r="Y760" s="74"/>
      <c r="Z760" s="74"/>
    </row>
    <row r="761">
      <c r="A761" s="74"/>
      <c r="B761" s="73"/>
      <c r="C761" s="73"/>
      <c r="D761" s="73"/>
      <c r="E761" s="73"/>
      <c r="F761" s="74"/>
      <c r="G761" s="74"/>
      <c r="H761" s="74"/>
      <c r="I761" s="74"/>
      <c r="J761" s="74"/>
      <c r="K761" s="74"/>
      <c r="L761" s="74"/>
      <c r="M761" s="74"/>
      <c r="N761" s="74"/>
      <c r="O761" s="74"/>
      <c r="P761" s="74"/>
      <c r="Q761" s="74"/>
      <c r="R761" s="74"/>
      <c r="S761" s="74"/>
      <c r="T761" s="74"/>
      <c r="U761" s="74"/>
      <c r="V761" s="74"/>
      <c r="W761" s="74"/>
      <c r="X761" s="74"/>
      <c r="Y761" s="74"/>
      <c r="Z761" s="74"/>
    </row>
    <row r="762">
      <c r="A762" s="74"/>
      <c r="B762" s="73"/>
      <c r="C762" s="73"/>
      <c r="D762" s="73"/>
      <c r="E762" s="73"/>
      <c r="F762" s="74"/>
      <c r="G762" s="74"/>
      <c r="H762" s="74"/>
      <c r="I762" s="74"/>
      <c r="J762" s="74"/>
      <c r="K762" s="74"/>
      <c r="L762" s="74"/>
      <c r="M762" s="74"/>
      <c r="N762" s="74"/>
      <c r="O762" s="74"/>
      <c r="P762" s="74"/>
      <c r="Q762" s="74"/>
      <c r="R762" s="74"/>
      <c r="S762" s="74"/>
      <c r="T762" s="74"/>
      <c r="U762" s="74"/>
      <c r="V762" s="74"/>
      <c r="W762" s="74"/>
      <c r="X762" s="74"/>
      <c r="Y762" s="74"/>
      <c r="Z762" s="74"/>
    </row>
    <row r="763">
      <c r="A763" s="74"/>
      <c r="B763" s="73"/>
      <c r="C763" s="73"/>
      <c r="D763" s="73"/>
      <c r="E763" s="73"/>
      <c r="F763" s="74"/>
      <c r="G763" s="74"/>
      <c r="H763" s="74"/>
      <c r="I763" s="74"/>
      <c r="J763" s="74"/>
      <c r="K763" s="74"/>
      <c r="L763" s="74"/>
      <c r="M763" s="74"/>
      <c r="N763" s="74"/>
      <c r="O763" s="74"/>
      <c r="P763" s="74"/>
      <c r="Q763" s="74"/>
      <c r="R763" s="74"/>
      <c r="S763" s="74"/>
      <c r="T763" s="74"/>
      <c r="U763" s="74"/>
      <c r="V763" s="74"/>
      <c r="W763" s="74"/>
      <c r="X763" s="74"/>
      <c r="Y763" s="74"/>
      <c r="Z763" s="74"/>
    </row>
    <row r="764">
      <c r="A764" s="74"/>
      <c r="B764" s="73"/>
      <c r="C764" s="73"/>
      <c r="D764" s="73"/>
      <c r="E764" s="73"/>
      <c r="F764" s="74"/>
      <c r="G764" s="74"/>
      <c r="H764" s="74"/>
      <c r="I764" s="74"/>
      <c r="J764" s="74"/>
      <c r="K764" s="74"/>
      <c r="L764" s="74"/>
      <c r="M764" s="74"/>
      <c r="N764" s="74"/>
      <c r="O764" s="74"/>
      <c r="P764" s="74"/>
      <c r="Q764" s="74"/>
      <c r="R764" s="74"/>
      <c r="S764" s="74"/>
      <c r="T764" s="74"/>
      <c r="U764" s="74"/>
      <c r="V764" s="74"/>
      <c r="W764" s="74"/>
      <c r="X764" s="74"/>
      <c r="Y764" s="74"/>
      <c r="Z764" s="74"/>
    </row>
    <row r="765">
      <c r="A765" s="74"/>
      <c r="B765" s="73"/>
      <c r="C765" s="73"/>
      <c r="D765" s="73"/>
      <c r="E765" s="73"/>
      <c r="F765" s="74"/>
      <c r="G765" s="74"/>
      <c r="H765" s="74"/>
      <c r="I765" s="74"/>
      <c r="J765" s="74"/>
      <c r="K765" s="74"/>
      <c r="L765" s="74"/>
      <c r="M765" s="74"/>
      <c r="N765" s="74"/>
      <c r="O765" s="74"/>
      <c r="P765" s="74"/>
      <c r="Q765" s="74"/>
      <c r="R765" s="74"/>
      <c r="S765" s="74"/>
      <c r="T765" s="74"/>
      <c r="U765" s="74"/>
      <c r="V765" s="74"/>
      <c r="W765" s="74"/>
      <c r="X765" s="74"/>
      <c r="Y765" s="74"/>
      <c r="Z765" s="74"/>
    </row>
    <row r="766">
      <c r="A766" s="74"/>
      <c r="B766" s="73"/>
      <c r="C766" s="73"/>
      <c r="D766" s="73"/>
      <c r="E766" s="73"/>
      <c r="F766" s="74"/>
      <c r="G766" s="74"/>
      <c r="H766" s="74"/>
      <c r="I766" s="74"/>
      <c r="J766" s="74"/>
      <c r="K766" s="74"/>
      <c r="L766" s="74"/>
      <c r="M766" s="74"/>
      <c r="N766" s="74"/>
      <c r="O766" s="74"/>
      <c r="P766" s="74"/>
      <c r="Q766" s="74"/>
      <c r="R766" s="74"/>
      <c r="S766" s="74"/>
      <c r="T766" s="74"/>
      <c r="U766" s="74"/>
      <c r="V766" s="74"/>
      <c r="W766" s="74"/>
      <c r="X766" s="74"/>
      <c r="Y766" s="74"/>
      <c r="Z766" s="74"/>
    </row>
    <row r="767">
      <c r="A767" s="74"/>
      <c r="B767" s="73"/>
      <c r="C767" s="73"/>
      <c r="D767" s="73"/>
      <c r="E767" s="73"/>
      <c r="F767" s="74"/>
      <c r="G767" s="74"/>
      <c r="H767" s="74"/>
      <c r="I767" s="74"/>
      <c r="J767" s="74"/>
      <c r="K767" s="74"/>
      <c r="L767" s="74"/>
      <c r="M767" s="74"/>
      <c r="N767" s="74"/>
      <c r="O767" s="74"/>
      <c r="P767" s="74"/>
      <c r="Q767" s="74"/>
      <c r="R767" s="74"/>
      <c r="S767" s="74"/>
      <c r="T767" s="74"/>
      <c r="U767" s="74"/>
      <c r="V767" s="74"/>
      <c r="W767" s="74"/>
      <c r="X767" s="74"/>
      <c r="Y767" s="74"/>
      <c r="Z767" s="74"/>
    </row>
    <row r="768">
      <c r="A768" s="74"/>
      <c r="B768" s="73"/>
      <c r="C768" s="73"/>
      <c r="D768" s="73"/>
      <c r="E768" s="73"/>
      <c r="F768" s="74"/>
      <c r="G768" s="74"/>
      <c r="H768" s="74"/>
      <c r="I768" s="74"/>
      <c r="J768" s="74"/>
      <c r="K768" s="74"/>
      <c r="L768" s="74"/>
      <c r="M768" s="74"/>
      <c r="N768" s="74"/>
      <c r="O768" s="74"/>
      <c r="P768" s="74"/>
      <c r="Q768" s="74"/>
      <c r="R768" s="74"/>
      <c r="S768" s="74"/>
      <c r="T768" s="74"/>
      <c r="U768" s="74"/>
      <c r="V768" s="74"/>
      <c r="W768" s="74"/>
      <c r="X768" s="74"/>
      <c r="Y768" s="74"/>
      <c r="Z768" s="74"/>
    </row>
    <row r="769">
      <c r="A769" s="74"/>
      <c r="B769" s="73"/>
      <c r="C769" s="73"/>
      <c r="D769" s="73"/>
      <c r="E769" s="73"/>
      <c r="F769" s="74"/>
      <c r="G769" s="74"/>
      <c r="H769" s="74"/>
      <c r="I769" s="74"/>
      <c r="J769" s="74"/>
      <c r="K769" s="74"/>
      <c r="L769" s="74"/>
      <c r="M769" s="74"/>
      <c r="N769" s="74"/>
      <c r="O769" s="74"/>
      <c r="P769" s="74"/>
      <c r="Q769" s="74"/>
      <c r="R769" s="74"/>
      <c r="S769" s="74"/>
      <c r="T769" s="74"/>
      <c r="U769" s="74"/>
      <c r="V769" s="74"/>
      <c r="W769" s="74"/>
      <c r="X769" s="74"/>
      <c r="Y769" s="74"/>
      <c r="Z769" s="74"/>
    </row>
    <row r="770">
      <c r="A770" s="74"/>
      <c r="B770" s="73"/>
      <c r="C770" s="73"/>
      <c r="D770" s="73"/>
      <c r="E770" s="73"/>
      <c r="F770" s="74"/>
      <c r="G770" s="74"/>
      <c r="H770" s="74"/>
      <c r="I770" s="74"/>
      <c r="J770" s="74"/>
      <c r="K770" s="74"/>
      <c r="L770" s="74"/>
      <c r="M770" s="74"/>
      <c r="N770" s="74"/>
      <c r="O770" s="74"/>
      <c r="P770" s="74"/>
      <c r="Q770" s="74"/>
      <c r="R770" s="74"/>
      <c r="S770" s="74"/>
      <c r="T770" s="74"/>
      <c r="U770" s="74"/>
      <c r="V770" s="74"/>
      <c r="W770" s="74"/>
      <c r="X770" s="74"/>
      <c r="Y770" s="74"/>
      <c r="Z770" s="74"/>
    </row>
    <row r="771">
      <c r="A771" s="74"/>
      <c r="B771" s="73"/>
      <c r="C771" s="73"/>
      <c r="D771" s="73"/>
      <c r="E771" s="73"/>
      <c r="F771" s="74"/>
      <c r="G771" s="74"/>
      <c r="H771" s="74"/>
      <c r="I771" s="74"/>
      <c r="J771" s="74"/>
      <c r="K771" s="74"/>
      <c r="L771" s="74"/>
      <c r="M771" s="74"/>
      <c r="N771" s="74"/>
      <c r="O771" s="74"/>
      <c r="P771" s="74"/>
      <c r="Q771" s="74"/>
      <c r="R771" s="74"/>
      <c r="S771" s="74"/>
      <c r="T771" s="74"/>
      <c r="U771" s="74"/>
      <c r="V771" s="74"/>
      <c r="W771" s="74"/>
      <c r="X771" s="74"/>
      <c r="Y771" s="74"/>
      <c r="Z771" s="74"/>
    </row>
    <row r="772">
      <c r="A772" s="74"/>
      <c r="B772" s="73"/>
      <c r="C772" s="73"/>
      <c r="D772" s="73"/>
      <c r="E772" s="73"/>
      <c r="F772" s="74"/>
      <c r="G772" s="74"/>
      <c r="H772" s="74"/>
      <c r="I772" s="74"/>
      <c r="J772" s="74"/>
      <c r="K772" s="74"/>
      <c r="L772" s="74"/>
      <c r="M772" s="74"/>
      <c r="N772" s="74"/>
      <c r="O772" s="74"/>
      <c r="P772" s="74"/>
      <c r="Q772" s="74"/>
      <c r="R772" s="74"/>
      <c r="S772" s="74"/>
      <c r="T772" s="74"/>
      <c r="U772" s="74"/>
      <c r="V772" s="74"/>
      <c r="W772" s="74"/>
      <c r="X772" s="74"/>
      <c r="Y772" s="74"/>
      <c r="Z772" s="74"/>
    </row>
    <row r="773">
      <c r="A773" s="74"/>
      <c r="B773" s="73"/>
      <c r="C773" s="73"/>
      <c r="D773" s="73"/>
      <c r="E773" s="73"/>
      <c r="F773" s="74"/>
      <c r="G773" s="74"/>
      <c r="H773" s="74"/>
      <c r="I773" s="74"/>
      <c r="J773" s="74"/>
      <c r="K773" s="74"/>
      <c r="L773" s="74"/>
      <c r="M773" s="74"/>
      <c r="N773" s="74"/>
      <c r="O773" s="74"/>
      <c r="P773" s="74"/>
      <c r="Q773" s="74"/>
      <c r="R773" s="74"/>
      <c r="S773" s="74"/>
      <c r="T773" s="74"/>
      <c r="U773" s="74"/>
      <c r="V773" s="74"/>
      <c r="W773" s="74"/>
      <c r="X773" s="74"/>
      <c r="Y773" s="74"/>
      <c r="Z773" s="74"/>
    </row>
    <row r="774">
      <c r="A774" s="74"/>
      <c r="B774" s="73"/>
      <c r="C774" s="73"/>
      <c r="D774" s="73"/>
      <c r="E774" s="73"/>
      <c r="F774" s="74"/>
      <c r="G774" s="74"/>
      <c r="H774" s="74"/>
      <c r="I774" s="74"/>
      <c r="J774" s="74"/>
      <c r="K774" s="74"/>
      <c r="L774" s="74"/>
      <c r="M774" s="74"/>
      <c r="N774" s="74"/>
      <c r="O774" s="74"/>
      <c r="P774" s="74"/>
      <c r="Q774" s="74"/>
      <c r="R774" s="74"/>
      <c r="S774" s="74"/>
      <c r="T774" s="74"/>
      <c r="U774" s="74"/>
      <c r="V774" s="74"/>
      <c r="W774" s="74"/>
      <c r="X774" s="74"/>
      <c r="Y774" s="74"/>
      <c r="Z774" s="74"/>
    </row>
    <row r="775">
      <c r="A775" s="74"/>
      <c r="B775" s="73"/>
      <c r="C775" s="73"/>
      <c r="D775" s="73"/>
      <c r="E775" s="73"/>
      <c r="F775" s="74"/>
      <c r="G775" s="74"/>
      <c r="H775" s="74"/>
      <c r="I775" s="74"/>
      <c r="J775" s="74"/>
      <c r="K775" s="74"/>
      <c r="L775" s="74"/>
      <c r="M775" s="74"/>
      <c r="N775" s="74"/>
      <c r="O775" s="74"/>
      <c r="P775" s="74"/>
      <c r="Q775" s="74"/>
      <c r="R775" s="74"/>
      <c r="S775" s="74"/>
      <c r="T775" s="74"/>
      <c r="U775" s="74"/>
      <c r="V775" s="74"/>
      <c r="W775" s="74"/>
      <c r="X775" s="74"/>
      <c r="Y775" s="74"/>
      <c r="Z775" s="74"/>
    </row>
    <row r="776">
      <c r="A776" s="74"/>
      <c r="B776" s="73"/>
      <c r="C776" s="73"/>
      <c r="D776" s="73"/>
      <c r="E776" s="73"/>
      <c r="F776" s="74"/>
      <c r="G776" s="74"/>
      <c r="H776" s="74"/>
      <c r="I776" s="74"/>
      <c r="J776" s="74"/>
      <c r="K776" s="74"/>
      <c r="L776" s="74"/>
      <c r="M776" s="74"/>
      <c r="N776" s="74"/>
      <c r="O776" s="74"/>
      <c r="P776" s="74"/>
      <c r="Q776" s="74"/>
      <c r="R776" s="74"/>
      <c r="S776" s="74"/>
      <c r="T776" s="74"/>
      <c r="U776" s="74"/>
      <c r="V776" s="74"/>
      <c r="W776" s="74"/>
      <c r="X776" s="74"/>
      <c r="Y776" s="74"/>
      <c r="Z776" s="74"/>
    </row>
    <row r="777">
      <c r="A777" s="74"/>
      <c r="B777" s="73"/>
      <c r="C777" s="73"/>
      <c r="D777" s="73"/>
      <c r="E777" s="73"/>
      <c r="F777" s="74"/>
      <c r="G777" s="74"/>
      <c r="H777" s="74"/>
      <c r="I777" s="74"/>
      <c r="J777" s="74"/>
      <c r="K777" s="74"/>
      <c r="L777" s="74"/>
      <c r="M777" s="74"/>
      <c r="N777" s="74"/>
      <c r="O777" s="74"/>
      <c r="P777" s="74"/>
      <c r="Q777" s="74"/>
      <c r="R777" s="74"/>
      <c r="S777" s="74"/>
      <c r="T777" s="74"/>
      <c r="U777" s="74"/>
      <c r="V777" s="74"/>
      <c r="W777" s="74"/>
      <c r="X777" s="74"/>
      <c r="Y777" s="74"/>
      <c r="Z777" s="74"/>
    </row>
    <row r="778">
      <c r="A778" s="74"/>
      <c r="B778" s="73"/>
      <c r="C778" s="73"/>
      <c r="D778" s="73"/>
      <c r="E778" s="73"/>
      <c r="F778" s="74"/>
      <c r="G778" s="74"/>
      <c r="H778" s="74"/>
      <c r="I778" s="74"/>
      <c r="J778" s="74"/>
      <c r="K778" s="74"/>
      <c r="L778" s="74"/>
      <c r="M778" s="74"/>
      <c r="N778" s="74"/>
      <c r="O778" s="74"/>
      <c r="P778" s="74"/>
      <c r="Q778" s="74"/>
      <c r="R778" s="74"/>
      <c r="S778" s="74"/>
      <c r="T778" s="74"/>
      <c r="U778" s="74"/>
      <c r="V778" s="74"/>
      <c r="W778" s="74"/>
      <c r="X778" s="74"/>
      <c r="Y778" s="74"/>
      <c r="Z778" s="74"/>
    </row>
    <row r="779">
      <c r="A779" s="74"/>
      <c r="B779" s="73"/>
      <c r="C779" s="73"/>
      <c r="D779" s="73"/>
      <c r="E779" s="73"/>
      <c r="F779" s="74"/>
      <c r="G779" s="74"/>
      <c r="H779" s="74"/>
      <c r="I779" s="74"/>
      <c r="J779" s="74"/>
      <c r="K779" s="74"/>
      <c r="L779" s="74"/>
      <c r="M779" s="74"/>
      <c r="N779" s="74"/>
      <c r="O779" s="74"/>
      <c r="P779" s="74"/>
      <c r="Q779" s="74"/>
      <c r="R779" s="74"/>
      <c r="S779" s="74"/>
      <c r="T779" s="74"/>
      <c r="U779" s="74"/>
      <c r="V779" s="74"/>
      <c r="W779" s="74"/>
      <c r="X779" s="74"/>
      <c r="Y779" s="74"/>
      <c r="Z779" s="74"/>
    </row>
    <row r="780">
      <c r="A780" s="74"/>
      <c r="B780" s="73"/>
      <c r="C780" s="73"/>
      <c r="D780" s="73"/>
      <c r="E780" s="73"/>
      <c r="F780" s="74"/>
      <c r="G780" s="74"/>
      <c r="H780" s="74"/>
      <c r="I780" s="74"/>
      <c r="J780" s="74"/>
      <c r="K780" s="74"/>
      <c r="L780" s="74"/>
      <c r="M780" s="74"/>
      <c r="N780" s="74"/>
      <c r="O780" s="74"/>
      <c r="P780" s="74"/>
      <c r="Q780" s="74"/>
      <c r="R780" s="74"/>
      <c r="S780" s="74"/>
      <c r="T780" s="74"/>
      <c r="U780" s="74"/>
      <c r="V780" s="74"/>
      <c r="W780" s="74"/>
      <c r="X780" s="74"/>
      <c r="Y780" s="74"/>
      <c r="Z780" s="74"/>
    </row>
    <row r="781">
      <c r="A781" s="74"/>
      <c r="B781" s="73"/>
      <c r="C781" s="73"/>
      <c r="D781" s="73"/>
      <c r="E781" s="73"/>
      <c r="F781" s="74"/>
      <c r="G781" s="74"/>
      <c r="H781" s="74"/>
      <c r="I781" s="74"/>
      <c r="J781" s="74"/>
      <c r="K781" s="74"/>
      <c r="L781" s="74"/>
      <c r="M781" s="74"/>
      <c r="N781" s="74"/>
      <c r="O781" s="74"/>
      <c r="P781" s="74"/>
      <c r="Q781" s="74"/>
      <c r="R781" s="74"/>
      <c r="S781" s="74"/>
      <c r="T781" s="74"/>
      <c r="U781" s="74"/>
      <c r="V781" s="74"/>
      <c r="W781" s="74"/>
      <c r="X781" s="74"/>
      <c r="Y781" s="74"/>
      <c r="Z781" s="74"/>
    </row>
    <row r="782">
      <c r="A782" s="74"/>
      <c r="B782" s="73"/>
      <c r="C782" s="73"/>
      <c r="D782" s="73"/>
      <c r="E782" s="73"/>
      <c r="F782" s="74"/>
      <c r="G782" s="74"/>
      <c r="H782" s="74"/>
      <c r="I782" s="74"/>
      <c r="J782" s="74"/>
      <c r="K782" s="74"/>
      <c r="L782" s="74"/>
      <c r="M782" s="74"/>
      <c r="N782" s="74"/>
      <c r="O782" s="74"/>
      <c r="P782" s="74"/>
      <c r="Q782" s="74"/>
      <c r="R782" s="74"/>
      <c r="S782" s="74"/>
      <c r="T782" s="74"/>
      <c r="U782" s="74"/>
      <c r="V782" s="74"/>
      <c r="W782" s="74"/>
      <c r="X782" s="74"/>
      <c r="Y782" s="74"/>
      <c r="Z782" s="74"/>
    </row>
    <row r="783">
      <c r="A783" s="74"/>
      <c r="B783" s="73"/>
      <c r="C783" s="73"/>
      <c r="D783" s="73"/>
      <c r="E783" s="73"/>
      <c r="F783" s="74"/>
      <c r="G783" s="74"/>
      <c r="H783" s="74"/>
      <c r="I783" s="74"/>
      <c r="J783" s="74"/>
      <c r="K783" s="74"/>
      <c r="L783" s="74"/>
      <c r="M783" s="74"/>
      <c r="N783" s="74"/>
      <c r="O783" s="74"/>
      <c r="P783" s="74"/>
      <c r="Q783" s="74"/>
      <c r="R783" s="74"/>
      <c r="S783" s="74"/>
      <c r="T783" s="74"/>
      <c r="U783" s="74"/>
      <c r="V783" s="74"/>
      <c r="W783" s="74"/>
      <c r="X783" s="74"/>
      <c r="Y783" s="74"/>
      <c r="Z783" s="74"/>
    </row>
    <row r="784">
      <c r="A784" s="74"/>
      <c r="B784" s="73"/>
      <c r="C784" s="73"/>
      <c r="D784" s="73"/>
      <c r="E784" s="73"/>
      <c r="F784" s="74"/>
      <c r="G784" s="74"/>
      <c r="H784" s="74"/>
      <c r="I784" s="74"/>
      <c r="J784" s="74"/>
      <c r="K784" s="74"/>
      <c r="L784" s="74"/>
      <c r="M784" s="74"/>
      <c r="N784" s="74"/>
      <c r="O784" s="74"/>
      <c r="P784" s="74"/>
      <c r="Q784" s="74"/>
      <c r="R784" s="74"/>
      <c r="S784" s="74"/>
      <c r="T784" s="74"/>
      <c r="U784" s="74"/>
      <c r="V784" s="74"/>
      <c r="W784" s="74"/>
      <c r="X784" s="74"/>
      <c r="Y784" s="74"/>
      <c r="Z784" s="74"/>
    </row>
    <row r="785">
      <c r="A785" s="74"/>
      <c r="B785" s="73"/>
      <c r="C785" s="73"/>
      <c r="D785" s="73"/>
      <c r="E785" s="73"/>
      <c r="F785" s="74"/>
      <c r="G785" s="74"/>
      <c r="H785" s="74"/>
      <c r="I785" s="74"/>
      <c r="J785" s="74"/>
      <c r="K785" s="74"/>
      <c r="L785" s="74"/>
      <c r="M785" s="74"/>
      <c r="N785" s="74"/>
      <c r="O785" s="74"/>
      <c r="P785" s="74"/>
      <c r="Q785" s="74"/>
      <c r="R785" s="74"/>
      <c r="S785" s="74"/>
      <c r="T785" s="74"/>
      <c r="U785" s="74"/>
      <c r="V785" s="74"/>
      <c r="W785" s="74"/>
      <c r="X785" s="74"/>
      <c r="Y785" s="74"/>
      <c r="Z785" s="74"/>
    </row>
    <row r="786">
      <c r="A786" s="74"/>
      <c r="B786" s="73"/>
      <c r="C786" s="73"/>
      <c r="D786" s="73"/>
      <c r="E786" s="73"/>
      <c r="F786" s="74"/>
      <c r="G786" s="74"/>
      <c r="H786" s="74"/>
      <c r="I786" s="74"/>
      <c r="J786" s="74"/>
      <c r="K786" s="74"/>
      <c r="L786" s="74"/>
      <c r="M786" s="74"/>
      <c r="N786" s="74"/>
      <c r="O786" s="74"/>
      <c r="P786" s="74"/>
      <c r="Q786" s="74"/>
      <c r="R786" s="74"/>
      <c r="S786" s="74"/>
      <c r="T786" s="74"/>
      <c r="U786" s="74"/>
      <c r="V786" s="74"/>
      <c r="W786" s="74"/>
      <c r="X786" s="74"/>
      <c r="Y786" s="74"/>
      <c r="Z786" s="74"/>
    </row>
    <row r="787">
      <c r="A787" s="74"/>
      <c r="B787" s="73"/>
      <c r="C787" s="73"/>
      <c r="D787" s="73"/>
      <c r="E787" s="73"/>
      <c r="F787" s="74"/>
      <c r="G787" s="74"/>
      <c r="H787" s="74"/>
      <c r="I787" s="74"/>
      <c r="J787" s="74"/>
      <c r="K787" s="74"/>
      <c r="L787" s="74"/>
      <c r="M787" s="74"/>
      <c r="N787" s="74"/>
      <c r="O787" s="74"/>
      <c r="P787" s="74"/>
      <c r="Q787" s="74"/>
      <c r="R787" s="74"/>
      <c r="S787" s="74"/>
      <c r="T787" s="74"/>
      <c r="U787" s="74"/>
      <c r="V787" s="74"/>
      <c r="W787" s="74"/>
      <c r="X787" s="74"/>
      <c r="Y787" s="74"/>
      <c r="Z787" s="74"/>
    </row>
    <row r="788">
      <c r="A788" s="74"/>
      <c r="B788" s="73"/>
      <c r="C788" s="73"/>
      <c r="D788" s="73"/>
      <c r="E788" s="73"/>
      <c r="F788" s="74"/>
      <c r="G788" s="74"/>
      <c r="H788" s="74"/>
      <c r="I788" s="74"/>
      <c r="J788" s="74"/>
      <c r="K788" s="74"/>
      <c r="L788" s="74"/>
      <c r="M788" s="74"/>
      <c r="N788" s="74"/>
      <c r="O788" s="74"/>
      <c r="P788" s="74"/>
      <c r="Q788" s="74"/>
      <c r="R788" s="74"/>
      <c r="S788" s="74"/>
      <c r="T788" s="74"/>
      <c r="U788" s="74"/>
      <c r="V788" s="74"/>
      <c r="W788" s="74"/>
      <c r="X788" s="74"/>
      <c r="Y788" s="74"/>
      <c r="Z788" s="74"/>
    </row>
    <row r="789">
      <c r="A789" s="74"/>
      <c r="B789" s="73"/>
      <c r="C789" s="73"/>
      <c r="D789" s="73"/>
      <c r="E789" s="73"/>
      <c r="F789" s="74"/>
      <c r="G789" s="74"/>
      <c r="H789" s="74"/>
      <c r="I789" s="74"/>
      <c r="J789" s="74"/>
      <c r="K789" s="74"/>
      <c r="L789" s="74"/>
      <c r="M789" s="74"/>
      <c r="N789" s="74"/>
      <c r="O789" s="74"/>
      <c r="P789" s="74"/>
      <c r="Q789" s="74"/>
      <c r="R789" s="74"/>
      <c r="S789" s="74"/>
      <c r="T789" s="74"/>
      <c r="U789" s="74"/>
      <c r="V789" s="74"/>
      <c r="W789" s="74"/>
      <c r="X789" s="74"/>
      <c r="Y789" s="74"/>
      <c r="Z789" s="74"/>
    </row>
    <row r="790">
      <c r="A790" s="74"/>
      <c r="B790" s="73"/>
      <c r="C790" s="73"/>
      <c r="D790" s="73"/>
      <c r="E790" s="73"/>
      <c r="F790" s="74"/>
      <c r="G790" s="74"/>
      <c r="H790" s="74"/>
      <c r="I790" s="74"/>
      <c r="J790" s="74"/>
      <c r="K790" s="74"/>
      <c r="L790" s="74"/>
      <c r="M790" s="74"/>
      <c r="N790" s="74"/>
      <c r="O790" s="74"/>
      <c r="P790" s="74"/>
      <c r="Q790" s="74"/>
      <c r="R790" s="74"/>
      <c r="S790" s="74"/>
      <c r="T790" s="74"/>
      <c r="U790" s="74"/>
      <c r="V790" s="74"/>
      <c r="W790" s="74"/>
      <c r="X790" s="74"/>
      <c r="Y790" s="74"/>
      <c r="Z790" s="74"/>
    </row>
    <row r="791">
      <c r="A791" s="74"/>
      <c r="B791" s="73"/>
      <c r="C791" s="73"/>
      <c r="D791" s="73"/>
      <c r="E791" s="73"/>
      <c r="F791" s="74"/>
      <c r="G791" s="74"/>
      <c r="H791" s="74"/>
      <c r="I791" s="74"/>
      <c r="J791" s="74"/>
      <c r="K791" s="74"/>
      <c r="L791" s="74"/>
      <c r="M791" s="74"/>
      <c r="N791" s="74"/>
      <c r="O791" s="74"/>
      <c r="P791" s="74"/>
      <c r="Q791" s="74"/>
      <c r="R791" s="74"/>
      <c r="S791" s="74"/>
      <c r="T791" s="74"/>
      <c r="U791" s="74"/>
      <c r="V791" s="74"/>
      <c r="W791" s="74"/>
      <c r="X791" s="74"/>
      <c r="Y791" s="74"/>
      <c r="Z791" s="74"/>
    </row>
    <row r="792">
      <c r="A792" s="74"/>
      <c r="B792" s="73"/>
      <c r="C792" s="73"/>
      <c r="D792" s="73"/>
      <c r="E792" s="73"/>
      <c r="F792" s="74"/>
      <c r="G792" s="74"/>
      <c r="H792" s="74"/>
      <c r="I792" s="74"/>
      <c r="J792" s="74"/>
      <c r="K792" s="74"/>
      <c r="L792" s="74"/>
      <c r="M792" s="74"/>
      <c r="N792" s="74"/>
      <c r="O792" s="74"/>
      <c r="P792" s="74"/>
      <c r="Q792" s="74"/>
      <c r="R792" s="74"/>
      <c r="S792" s="74"/>
      <c r="T792" s="74"/>
      <c r="U792" s="74"/>
      <c r="V792" s="74"/>
      <c r="W792" s="74"/>
      <c r="X792" s="74"/>
      <c r="Y792" s="74"/>
      <c r="Z792" s="74"/>
    </row>
    <row r="793">
      <c r="A793" s="74"/>
      <c r="B793" s="73"/>
      <c r="C793" s="73"/>
      <c r="D793" s="73"/>
      <c r="E793" s="73"/>
      <c r="F793" s="74"/>
      <c r="G793" s="74"/>
      <c r="H793" s="74"/>
      <c r="I793" s="74"/>
      <c r="J793" s="74"/>
      <c r="K793" s="74"/>
      <c r="L793" s="74"/>
      <c r="M793" s="74"/>
      <c r="N793" s="74"/>
      <c r="O793" s="74"/>
      <c r="P793" s="74"/>
      <c r="Q793" s="74"/>
      <c r="R793" s="74"/>
      <c r="S793" s="74"/>
      <c r="T793" s="74"/>
      <c r="U793" s="74"/>
      <c r="V793" s="74"/>
      <c r="W793" s="74"/>
      <c r="X793" s="74"/>
      <c r="Y793" s="74"/>
      <c r="Z793" s="74"/>
    </row>
    <row r="794">
      <c r="A794" s="74"/>
      <c r="B794" s="73"/>
      <c r="C794" s="73"/>
      <c r="D794" s="73"/>
      <c r="E794" s="73"/>
      <c r="F794" s="74"/>
      <c r="G794" s="74"/>
      <c r="H794" s="74"/>
      <c r="I794" s="74"/>
      <c r="J794" s="74"/>
      <c r="K794" s="74"/>
      <c r="L794" s="74"/>
      <c r="M794" s="74"/>
      <c r="N794" s="74"/>
      <c r="O794" s="74"/>
      <c r="P794" s="74"/>
      <c r="Q794" s="74"/>
      <c r="R794" s="74"/>
      <c r="S794" s="74"/>
      <c r="T794" s="74"/>
      <c r="U794" s="74"/>
      <c r="V794" s="74"/>
      <c r="W794" s="74"/>
      <c r="X794" s="74"/>
      <c r="Y794" s="74"/>
      <c r="Z794" s="74"/>
    </row>
    <row r="795">
      <c r="A795" s="74"/>
      <c r="B795" s="73"/>
      <c r="C795" s="73"/>
      <c r="D795" s="73"/>
      <c r="E795" s="73"/>
      <c r="F795" s="74"/>
      <c r="G795" s="74"/>
      <c r="H795" s="74"/>
      <c r="I795" s="74"/>
      <c r="J795" s="74"/>
      <c r="K795" s="74"/>
      <c r="L795" s="74"/>
      <c r="M795" s="74"/>
      <c r="N795" s="74"/>
      <c r="O795" s="74"/>
      <c r="P795" s="74"/>
      <c r="Q795" s="74"/>
      <c r="R795" s="74"/>
      <c r="S795" s="74"/>
      <c r="T795" s="74"/>
      <c r="U795" s="74"/>
      <c r="V795" s="74"/>
      <c r="W795" s="74"/>
      <c r="X795" s="74"/>
      <c r="Y795" s="74"/>
      <c r="Z795" s="74"/>
    </row>
    <row r="796">
      <c r="A796" s="74"/>
      <c r="B796" s="73"/>
      <c r="C796" s="73"/>
      <c r="D796" s="73"/>
      <c r="E796" s="73"/>
      <c r="F796" s="74"/>
      <c r="G796" s="74"/>
      <c r="H796" s="74"/>
      <c r="I796" s="74"/>
      <c r="J796" s="74"/>
      <c r="K796" s="74"/>
      <c r="L796" s="74"/>
      <c r="M796" s="74"/>
      <c r="N796" s="74"/>
      <c r="O796" s="74"/>
      <c r="P796" s="74"/>
      <c r="Q796" s="74"/>
      <c r="R796" s="74"/>
      <c r="S796" s="74"/>
      <c r="T796" s="74"/>
      <c r="U796" s="74"/>
      <c r="V796" s="74"/>
      <c r="W796" s="74"/>
      <c r="X796" s="74"/>
      <c r="Y796" s="74"/>
      <c r="Z796" s="74"/>
    </row>
    <row r="797">
      <c r="A797" s="74"/>
      <c r="B797" s="73"/>
      <c r="C797" s="73"/>
      <c r="D797" s="73"/>
      <c r="E797" s="73"/>
      <c r="F797" s="74"/>
      <c r="G797" s="74"/>
      <c r="H797" s="74"/>
      <c r="I797" s="74"/>
      <c r="J797" s="74"/>
      <c r="K797" s="74"/>
      <c r="L797" s="74"/>
      <c r="M797" s="74"/>
      <c r="N797" s="74"/>
      <c r="O797" s="74"/>
      <c r="P797" s="74"/>
      <c r="Q797" s="74"/>
      <c r="R797" s="74"/>
      <c r="S797" s="74"/>
      <c r="T797" s="74"/>
      <c r="U797" s="74"/>
      <c r="V797" s="74"/>
      <c r="W797" s="74"/>
      <c r="X797" s="74"/>
      <c r="Y797" s="74"/>
      <c r="Z797" s="74"/>
    </row>
    <row r="798">
      <c r="A798" s="74"/>
      <c r="B798" s="73"/>
      <c r="C798" s="73"/>
      <c r="D798" s="73"/>
      <c r="E798" s="73"/>
      <c r="F798" s="74"/>
      <c r="G798" s="74"/>
      <c r="H798" s="74"/>
      <c r="I798" s="74"/>
      <c r="J798" s="74"/>
      <c r="K798" s="74"/>
      <c r="L798" s="74"/>
      <c r="M798" s="74"/>
      <c r="N798" s="74"/>
      <c r="O798" s="74"/>
      <c r="P798" s="74"/>
      <c r="Q798" s="74"/>
      <c r="R798" s="74"/>
      <c r="S798" s="74"/>
      <c r="T798" s="74"/>
      <c r="U798" s="74"/>
      <c r="V798" s="74"/>
      <c r="W798" s="74"/>
      <c r="X798" s="74"/>
      <c r="Y798" s="74"/>
      <c r="Z798" s="74"/>
    </row>
    <row r="799">
      <c r="A799" s="74"/>
      <c r="B799" s="73"/>
      <c r="C799" s="73"/>
      <c r="D799" s="73"/>
      <c r="E799" s="73"/>
      <c r="F799" s="74"/>
      <c r="G799" s="74"/>
      <c r="H799" s="74"/>
      <c r="I799" s="74"/>
      <c r="J799" s="74"/>
      <c r="K799" s="74"/>
      <c r="L799" s="74"/>
      <c r="M799" s="74"/>
      <c r="N799" s="74"/>
      <c r="O799" s="74"/>
      <c r="P799" s="74"/>
      <c r="Q799" s="74"/>
      <c r="R799" s="74"/>
      <c r="S799" s="74"/>
      <c r="T799" s="74"/>
      <c r="U799" s="74"/>
      <c r="V799" s="74"/>
      <c r="W799" s="74"/>
      <c r="X799" s="74"/>
      <c r="Y799" s="74"/>
      <c r="Z799" s="74"/>
    </row>
    <row r="800">
      <c r="A800" s="74"/>
      <c r="B800" s="73"/>
      <c r="C800" s="73"/>
      <c r="D800" s="73"/>
      <c r="E800" s="73"/>
      <c r="F800" s="74"/>
      <c r="G800" s="74"/>
      <c r="H800" s="74"/>
      <c r="I800" s="74"/>
      <c r="J800" s="74"/>
      <c r="K800" s="74"/>
      <c r="L800" s="74"/>
      <c r="M800" s="74"/>
      <c r="N800" s="74"/>
      <c r="O800" s="74"/>
      <c r="P800" s="74"/>
      <c r="Q800" s="74"/>
      <c r="R800" s="74"/>
      <c r="S800" s="74"/>
      <c r="T800" s="74"/>
      <c r="U800" s="74"/>
      <c r="V800" s="74"/>
      <c r="W800" s="74"/>
      <c r="X800" s="74"/>
      <c r="Y800" s="74"/>
      <c r="Z800" s="74"/>
    </row>
    <row r="801">
      <c r="A801" s="74"/>
      <c r="B801" s="73"/>
      <c r="C801" s="73"/>
      <c r="D801" s="73"/>
      <c r="E801" s="73"/>
      <c r="F801" s="74"/>
      <c r="G801" s="74"/>
      <c r="H801" s="74"/>
      <c r="I801" s="74"/>
      <c r="J801" s="74"/>
      <c r="K801" s="74"/>
      <c r="L801" s="74"/>
      <c r="M801" s="74"/>
      <c r="N801" s="74"/>
      <c r="O801" s="74"/>
      <c r="P801" s="74"/>
      <c r="Q801" s="74"/>
      <c r="R801" s="74"/>
      <c r="S801" s="74"/>
      <c r="T801" s="74"/>
      <c r="U801" s="74"/>
      <c r="V801" s="74"/>
      <c r="W801" s="74"/>
      <c r="X801" s="74"/>
      <c r="Y801" s="74"/>
      <c r="Z801" s="74"/>
    </row>
    <row r="802">
      <c r="A802" s="74"/>
      <c r="B802" s="73"/>
      <c r="C802" s="73"/>
      <c r="D802" s="73"/>
      <c r="E802" s="73"/>
      <c r="F802" s="74"/>
      <c r="G802" s="74"/>
      <c r="H802" s="74"/>
      <c r="I802" s="74"/>
      <c r="J802" s="74"/>
      <c r="K802" s="74"/>
      <c r="L802" s="74"/>
      <c r="M802" s="74"/>
      <c r="N802" s="74"/>
      <c r="O802" s="74"/>
      <c r="P802" s="74"/>
      <c r="Q802" s="74"/>
      <c r="R802" s="74"/>
      <c r="S802" s="74"/>
      <c r="T802" s="74"/>
      <c r="U802" s="74"/>
      <c r="V802" s="74"/>
      <c r="W802" s="74"/>
      <c r="X802" s="74"/>
      <c r="Y802" s="74"/>
      <c r="Z802" s="74"/>
    </row>
    <row r="803">
      <c r="A803" s="74"/>
      <c r="B803" s="73"/>
      <c r="C803" s="73"/>
      <c r="D803" s="73"/>
      <c r="E803" s="73"/>
      <c r="F803" s="74"/>
      <c r="G803" s="74"/>
      <c r="H803" s="74"/>
      <c r="I803" s="74"/>
      <c r="J803" s="74"/>
      <c r="K803" s="74"/>
      <c r="L803" s="74"/>
      <c r="M803" s="74"/>
      <c r="N803" s="74"/>
      <c r="O803" s="74"/>
      <c r="P803" s="74"/>
      <c r="Q803" s="74"/>
      <c r="R803" s="74"/>
      <c r="S803" s="74"/>
      <c r="T803" s="74"/>
      <c r="U803" s="74"/>
      <c r="V803" s="74"/>
      <c r="W803" s="74"/>
      <c r="X803" s="74"/>
      <c r="Y803" s="74"/>
      <c r="Z803" s="74"/>
    </row>
    <row r="804">
      <c r="A804" s="74"/>
      <c r="B804" s="73"/>
      <c r="C804" s="73"/>
      <c r="D804" s="73"/>
      <c r="E804" s="73"/>
      <c r="F804" s="74"/>
      <c r="G804" s="74"/>
      <c r="H804" s="74"/>
      <c r="I804" s="74"/>
      <c r="J804" s="74"/>
      <c r="K804" s="74"/>
      <c r="L804" s="74"/>
      <c r="M804" s="74"/>
      <c r="N804" s="74"/>
      <c r="O804" s="74"/>
      <c r="P804" s="74"/>
      <c r="Q804" s="74"/>
      <c r="R804" s="74"/>
      <c r="S804" s="74"/>
      <c r="T804" s="74"/>
      <c r="U804" s="74"/>
      <c r="V804" s="74"/>
      <c r="W804" s="74"/>
      <c r="X804" s="74"/>
      <c r="Y804" s="74"/>
      <c r="Z804" s="74"/>
    </row>
    <row r="805">
      <c r="A805" s="74"/>
      <c r="B805" s="73"/>
      <c r="C805" s="73"/>
      <c r="D805" s="73"/>
      <c r="E805" s="73"/>
      <c r="F805" s="74"/>
      <c r="G805" s="74"/>
      <c r="H805" s="74"/>
      <c r="I805" s="74"/>
      <c r="J805" s="74"/>
      <c r="K805" s="74"/>
      <c r="L805" s="74"/>
      <c r="M805" s="74"/>
      <c r="N805" s="74"/>
      <c r="O805" s="74"/>
      <c r="P805" s="74"/>
      <c r="Q805" s="74"/>
      <c r="R805" s="74"/>
      <c r="S805" s="74"/>
      <c r="T805" s="74"/>
      <c r="U805" s="74"/>
      <c r="V805" s="74"/>
      <c r="W805" s="74"/>
      <c r="X805" s="74"/>
      <c r="Y805" s="74"/>
      <c r="Z805" s="74"/>
    </row>
    <row r="806">
      <c r="A806" s="74"/>
      <c r="B806" s="73"/>
      <c r="C806" s="73"/>
      <c r="D806" s="73"/>
      <c r="E806" s="73"/>
      <c r="F806" s="74"/>
      <c r="G806" s="74"/>
      <c r="H806" s="74"/>
      <c r="I806" s="74"/>
      <c r="J806" s="74"/>
      <c r="K806" s="74"/>
      <c r="L806" s="74"/>
      <c r="M806" s="74"/>
      <c r="N806" s="74"/>
      <c r="O806" s="74"/>
      <c r="P806" s="74"/>
      <c r="Q806" s="74"/>
      <c r="R806" s="74"/>
      <c r="S806" s="74"/>
      <c r="T806" s="74"/>
      <c r="U806" s="74"/>
      <c r="V806" s="74"/>
      <c r="W806" s="74"/>
      <c r="X806" s="74"/>
      <c r="Y806" s="74"/>
      <c r="Z806" s="74"/>
    </row>
    <row r="807">
      <c r="A807" s="74"/>
      <c r="B807" s="73"/>
      <c r="C807" s="73"/>
      <c r="D807" s="73"/>
      <c r="E807" s="73"/>
      <c r="F807" s="74"/>
      <c r="G807" s="74"/>
      <c r="H807" s="74"/>
      <c r="I807" s="74"/>
      <c r="J807" s="74"/>
      <c r="K807" s="74"/>
      <c r="L807" s="74"/>
      <c r="M807" s="74"/>
      <c r="N807" s="74"/>
      <c r="O807" s="74"/>
      <c r="P807" s="74"/>
      <c r="Q807" s="74"/>
      <c r="R807" s="74"/>
      <c r="S807" s="74"/>
      <c r="T807" s="74"/>
      <c r="U807" s="74"/>
      <c r="V807" s="74"/>
      <c r="W807" s="74"/>
      <c r="X807" s="74"/>
      <c r="Y807" s="74"/>
      <c r="Z807" s="74"/>
    </row>
    <row r="808">
      <c r="A808" s="74"/>
      <c r="B808" s="73"/>
      <c r="C808" s="73"/>
      <c r="D808" s="73"/>
      <c r="E808" s="73"/>
      <c r="F808" s="74"/>
      <c r="G808" s="74"/>
      <c r="H808" s="74"/>
      <c r="I808" s="74"/>
      <c r="J808" s="74"/>
      <c r="K808" s="74"/>
      <c r="L808" s="74"/>
      <c r="M808" s="74"/>
      <c r="N808" s="74"/>
      <c r="O808" s="74"/>
      <c r="P808" s="74"/>
      <c r="Q808" s="74"/>
      <c r="R808" s="74"/>
      <c r="S808" s="74"/>
      <c r="T808" s="74"/>
      <c r="U808" s="74"/>
      <c r="V808" s="74"/>
      <c r="W808" s="74"/>
      <c r="X808" s="74"/>
      <c r="Y808" s="74"/>
      <c r="Z808" s="74"/>
    </row>
    <row r="809">
      <c r="A809" s="74"/>
      <c r="B809" s="73"/>
      <c r="C809" s="73"/>
      <c r="D809" s="73"/>
      <c r="E809" s="73"/>
      <c r="F809" s="74"/>
      <c r="G809" s="74"/>
      <c r="H809" s="74"/>
      <c r="I809" s="74"/>
      <c r="J809" s="74"/>
      <c r="K809" s="74"/>
      <c r="L809" s="74"/>
      <c r="M809" s="74"/>
      <c r="N809" s="74"/>
      <c r="O809" s="74"/>
      <c r="P809" s="74"/>
      <c r="Q809" s="74"/>
      <c r="R809" s="74"/>
      <c r="S809" s="74"/>
      <c r="T809" s="74"/>
      <c r="U809" s="74"/>
      <c r="V809" s="74"/>
      <c r="W809" s="74"/>
      <c r="X809" s="74"/>
      <c r="Y809" s="74"/>
      <c r="Z809" s="74"/>
    </row>
    <row r="810">
      <c r="A810" s="74"/>
      <c r="B810" s="73"/>
      <c r="C810" s="73"/>
      <c r="D810" s="73"/>
      <c r="E810" s="73"/>
      <c r="F810" s="74"/>
      <c r="G810" s="74"/>
      <c r="H810" s="74"/>
      <c r="I810" s="74"/>
      <c r="J810" s="74"/>
      <c r="K810" s="74"/>
      <c r="L810" s="74"/>
      <c r="M810" s="74"/>
      <c r="N810" s="74"/>
      <c r="O810" s="74"/>
      <c r="P810" s="74"/>
      <c r="Q810" s="74"/>
      <c r="R810" s="74"/>
      <c r="S810" s="74"/>
      <c r="T810" s="74"/>
      <c r="U810" s="74"/>
      <c r="V810" s="74"/>
      <c r="W810" s="74"/>
      <c r="X810" s="74"/>
      <c r="Y810" s="74"/>
      <c r="Z810" s="74"/>
    </row>
    <row r="811">
      <c r="A811" s="74"/>
      <c r="B811" s="73"/>
      <c r="C811" s="73"/>
      <c r="D811" s="73"/>
      <c r="E811" s="73"/>
      <c r="F811" s="74"/>
      <c r="G811" s="74"/>
      <c r="H811" s="74"/>
      <c r="I811" s="74"/>
      <c r="J811" s="74"/>
      <c r="K811" s="74"/>
      <c r="L811" s="74"/>
      <c r="M811" s="74"/>
      <c r="N811" s="74"/>
      <c r="O811" s="74"/>
      <c r="P811" s="74"/>
      <c r="Q811" s="74"/>
      <c r="R811" s="74"/>
      <c r="S811" s="74"/>
      <c r="T811" s="74"/>
      <c r="U811" s="74"/>
      <c r="V811" s="74"/>
      <c r="W811" s="74"/>
      <c r="X811" s="74"/>
      <c r="Y811" s="74"/>
      <c r="Z811" s="74"/>
    </row>
    <row r="812">
      <c r="A812" s="74"/>
      <c r="B812" s="73"/>
      <c r="C812" s="73"/>
      <c r="D812" s="73"/>
      <c r="E812" s="73"/>
      <c r="F812" s="74"/>
      <c r="G812" s="74"/>
      <c r="H812" s="74"/>
      <c r="I812" s="74"/>
      <c r="J812" s="74"/>
      <c r="K812" s="74"/>
      <c r="L812" s="74"/>
      <c r="M812" s="74"/>
      <c r="N812" s="74"/>
      <c r="O812" s="74"/>
      <c r="P812" s="74"/>
      <c r="Q812" s="74"/>
      <c r="R812" s="74"/>
      <c r="S812" s="74"/>
      <c r="T812" s="74"/>
      <c r="U812" s="74"/>
      <c r="V812" s="74"/>
      <c r="W812" s="74"/>
      <c r="X812" s="74"/>
      <c r="Y812" s="74"/>
      <c r="Z812" s="74"/>
    </row>
    <row r="813">
      <c r="A813" s="74"/>
      <c r="B813" s="73"/>
      <c r="C813" s="73"/>
      <c r="D813" s="73"/>
      <c r="E813" s="73"/>
      <c r="F813" s="74"/>
      <c r="G813" s="74"/>
      <c r="H813" s="74"/>
      <c r="I813" s="74"/>
      <c r="J813" s="74"/>
      <c r="K813" s="74"/>
      <c r="L813" s="74"/>
      <c r="M813" s="74"/>
      <c r="N813" s="74"/>
      <c r="O813" s="74"/>
      <c r="P813" s="74"/>
      <c r="Q813" s="74"/>
      <c r="R813" s="74"/>
      <c r="S813" s="74"/>
      <c r="T813" s="74"/>
      <c r="U813" s="74"/>
      <c r="V813" s="74"/>
      <c r="W813" s="74"/>
      <c r="X813" s="74"/>
      <c r="Y813" s="74"/>
      <c r="Z813" s="74"/>
    </row>
    <row r="814">
      <c r="A814" s="74"/>
      <c r="B814" s="73"/>
      <c r="C814" s="73"/>
      <c r="D814" s="73"/>
      <c r="E814" s="73"/>
      <c r="F814" s="74"/>
      <c r="G814" s="74"/>
      <c r="H814" s="74"/>
      <c r="I814" s="74"/>
      <c r="J814" s="74"/>
      <c r="K814" s="74"/>
      <c r="L814" s="74"/>
      <c r="M814" s="74"/>
      <c r="N814" s="74"/>
      <c r="O814" s="74"/>
      <c r="P814" s="74"/>
      <c r="Q814" s="74"/>
      <c r="R814" s="74"/>
      <c r="S814" s="74"/>
      <c r="T814" s="74"/>
      <c r="U814" s="74"/>
      <c r="V814" s="74"/>
      <c r="W814" s="74"/>
      <c r="X814" s="74"/>
      <c r="Y814" s="74"/>
      <c r="Z814" s="74"/>
    </row>
    <row r="815">
      <c r="A815" s="74"/>
      <c r="B815" s="73"/>
      <c r="C815" s="73"/>
      <c r="D815" s="73"/>
      <c r="E815" s="73"/>
      <c r="F815" s="74"/>
      <c r="G815" s="74"/>
      <c r="H815" s="74"/>
      <c r="I815" s="74"/>
      <c r="J815" s="74"/>
      <c r="K815" s="74"/>
      <c r="L815" s="74"/>
      <c r="M815" s="74"/>
      <c r="N815" s="74"/>
      <c r="O815" s="74"/>
      <c r="P815" s="74"/>
      <c r="Q815" s="74"/>
      <c r="R815" s="74"/>
      <c r="S815" s="74"/>
      <c r="T815" s="74"/>
      <c r="U815" s="74"/>
      <c r="V815" s="74"/>
      <c r="W815" s="74"/>
      <c r="X815" s="74"/>
      <c r="Y815" s="74"/>
      <c r="Z815" s="74"/>
    </row>
    <row r="816">
      <c r="A816" s="74"/>
      <c r="B816" s="73"/>
      <c r="C816" s="73"/>
      <c r="D816" s="73"/>
      <c r="E816" s="73"/>
      <c r="F816" s="74"/>
      <c r="G816" s="74"/>
      <c r="H816" s="74"/>
      <c r="I816" s="74"/>
      <c r="J816" s="74"/>
      <c r="K816" s="74"/>
      <c r="L816" s="74"/>
      <c r="M816" s="74"/>
      <c r="N816" s="74"/>
      <c r="O816" s="74"/>
      <c r="P816" s="74"/>
      <c r="Q816" s="74"/>
      <c r="R816" s="74"/>
      <c r="S816" s="74"/>
      <c r="T816" s="74"/>
      <c r="U816" s="74"/>
      <c r="V816" s="74"/>
      <c r="W816" s="74"/>
      <c r="X816" s="74"/>
      <c r="Y816" s="74"/>
      <c r="Z816" s="74"/>
    </row>
    <row r="817">
      <c r="A817" s="74"/>
      <c r="B817" s="73"/>
      <c r="C817" s="73"/>
      <c r="D817" s="73"/>
      <c r="E817" s="73"/>
      <c r="F817" s="74"/>
      <c r="G817" s="74"/>
      <c r="H817" s="74"/>
      <c r="I817" s="74"/>
      <c r="J817" s="74"/>
      <c r="K817" s="74"/>
      <c r="L817" s="74"/>
      <c r="M817" s="74"/>
      <c r="N817" s="74"/>
      <c r="O817" s="74"/>
      <c r="P817" s="74"/>
      <c r="Q817" s="74"/>
      <c r="R817" s="74"/>
      <c r="S817" s="74"/>
      <c r="T817" s="74"/>
      <c r="U817" s="74"/>
      <c r="V817" s="74"/>
      <c r="W817" s="74"/>
      <c r="X817" s="74"/>
      <c r="Y817" s="74"/>
      <c r="Z817" s="74"/>
    </row>
    <row r="818">
      <c r="A818" s="74"/>
      <c r="B818" s="73"/>
      <c r="C818" s="73"/>
      <c r="D818" s="73"/>
      <c r="E818" s="73"/>
      <c r="F818" s="74"/>
      <c r="G818" s="74"/>
      <c r="H818" s="74"/>
      <c r="I818" s="74"/>
      <c r="J818" s="74"/>
      <c r="K818" s="74"/>
      <c r="L818" s="74"/>
      <c r="M818" s="74"/>
      <c r="N818" s="74"/>
      <c r="O818" s="74"/>
      <c r="P818" s="74"/>
      <c r="Q818" s="74"/>
      <c r="R818" s="74"/>
      <c r="S818" s="74"/>
      <c r="T818" s="74"/>
      <c r="U818" s="74"/>
      <c r="V818" s="74"/>
      <c r="W818" s="74"/>
      <c r="X818" s="74"/>
      <c r="Y818" s="74"/>
      <c r="Z818" s="74"/>
    </row>
    <row r="819">
      <c r="A819" s="74"/>
      <c r="B819" s="73"/>
      <c r="C819" s="73"/>
      <c r="D819" s="73"/>
      <c r="E819" s="73"/>
      <c r="F819" s="74"/>
      <c r="G819" s="74"/>
      <c r="H819" s="74"/>
      <c r="I819" s="74"/>
      <c r="J819" s="74"/>
      <c r="K819" s="74"/>
      <c r="L819" s="74"/>
      <c r="M819" s="74"/>
      <c r="N819" s="74"/>
      <c r="O819" s="74"/>
      <c r="P819" s="74"/>
      <c r="Q819" s="74"/>
      <c r="R819" s="74"/>
      <c r="S819" s="74"/>
      <c r="T819" s="74"/>
      <c r="U819" s="74"/>
      <c r="V819" s="74"/>
      <c r="W819" s="74"/>
      <c r="X819" s="74"/>
      <c r="Y819" s="74"/>
      <c r="Z819" s="74"/>
    </row>
    <row r="820">
      <c r="A820" s="74"/>
      <c r="B820" s="73"/>
      <c r="C820" s="73"/>
      <c r="D820" s="73"/>
      <c r="E820" s="73"/>
      <c r="F820" s="74"/>
      <c r="G820" s="74"/>
      <c r="H820" s="74"/>
      <c r="I820" s="74"/>
      <c r="J820" s="74"/>
      <c r="K820" s="74"/>
      <c r="L820" s="74"/>
      <c r="M820" s="74"/>
      <c r="N820" s="74"/>
      <c r="O820" s="74"/>
      <c r="P820" s="74"/>
      <c r="Q820" s="74"/>
      <c r="R820" s="74"/>
      <c r="S820" s="74"/>
      <c r="T820" s="74"/>
      <c r="U820" s="74"/>
      <c r="V820" s="74"/>
      <c r="W820" s="74"/>
      <c r="X820" s="74"/>
      <c r="Y820" s="74"/>
      <c r="Z820" s="74"/>
    </row>
    <row r="821">
      <c r="A821" s="74"/>
      <c r="B821" s="73"/>
      <c r="C821" s="73"/>
      <c r="D821" s="73"/>
      <c r="E821" s="73"/>
      <c r="F821" s="74"/>
      <c r="G821" s="74"/>
      <c r="H821" s="74"/>
      <c r="I821" s="74"/>
      <c r="J821" s="74"/>
      <c r="K821" s="74"/>
      <c r="L821" s="74"/>
      <c r="M821" s="74"/>
      <c r="N821" s="74"/>
      <c r="O821" s="74"/>
      <c r="P821" s="74"/>
      <c r="Q821" s="74"/>
      <c r="R821" s="74"/>
      <c r="S821" s="74"/>
      <c r="T821" s="74"/>
      <c r="U821" s="74"/>
      <c r="V821" s="74"/>
      <c r="W821" s="74"/>
      <c r="X821" s="74"/>
      <c r="Y821" s="74"/>
      <c r="Z821" s="74"/>
    </row>
    <row r="822">
      <c r="A822" s="74"/>
      <c r="B822" s="73"/>
      <c r="C822" s="73"/>
      <c r="D822" s="73"/>
      <c r="E822" s="73"/>
      <c r="F822" s="74"/>
      <c r="G822" s="74"/>
      <c r="H822" s="74"/>
      <c r="I822" s="74"/>
      <c r="J822" s="74"/>
      <c r="K822" s="74"/>
      <c r="L822" s="74"/>
      <c r="M822" s="74"/>
      <c r="N822" s="74"/>
      <c r="O822" s="74"/>
      <c r="P822" s="74"/>
      <c r="Q822" s="74"/>
      <c r="R822" s="74"/>
      <c r="S822" s="74"/>
      <c r="T822" s="74"/>
      <c r="U822" s="74"/>
      <c r="V822" s="74"/>
      <c r="W822" s="74"/>
      <c r="X822" s="74"/>
      <c r="Y822" s="74"/>
      <c r="Z822" s="74"/>
    </row>
    <row r="823">
      <c r="A823" s="74"/>
      <c r="B823" s="73"/>
      <c r="C823" s="73"/>
      <c r="D823" s="73"/>
      <c r="E823" s="73"/>
      <c r="F823" s="74"/>
      <c r="G823" s="74"/>
      <c r="H823" s="74"/>
      <c r="I823" s="74"/>
      <c r="J823" s="74"/>
      <c r="K823" s="74"/>
      <c r="L823" s="74"/>
      <c r="M823" s="74"/>
      <c r="N823" s="74"/>
      <c r="O823" s="74"/>
      <c r="P823" s="74"/>
      <c r="Q823" s="74"/>
      <c r="R823" s="74"/>
      <c r="S823" s="74"/>
      <c r="T823" s="74"/>
      <c r="U823" s="74"/>
      <c r="V823" s="74"/>
      <c r="W823" s="74"/>
      <c r="X823" s="74"/>
      <c r="Y823" s="74"/>
      <c r="Z823" s="74"/>
    </row>
    <row r="824">
      <c r="A824" s="74"/>
      <c r="B824" s="73"/>
      <c r="C824" s="73"/>
      <c r="D824" s="73"/>
      <c r="E824" s="73"/>
      <c r="F824" s="74"/>
      <c r="G824" s="74"/>
      <c r="H824" s="74"/>
      <c r="I824" s="74"/>
      <c r="J824" s="74"/>
      <c r="K824" s="74"/>
      <c r="L824" s="74"/>
      <c r="M824" s="74"/>
      <c r="N824" s="74"/>
      <c r="O824" s="74"/>
      <c r="P824" s="74"/>
      <c r="Q824" s="74"/>
      <c r="R824" s="74"/>
      <c r="S824" s="74"/>
      <c r="T824" s="74"/>
      <c r="U824" s="74"/>
      <c r="V824" s="74"/>
      <c r="W824" s="74"/>
      <c r="X824" s="74"/>
      <c r="Y824" s="74"/>
      <c r="Z824" s="74"/>
    </row>
    <row r="825">
      <c r="A825" s="74"/>
      <c r="B825" s="73"/>
      <c r="C825" s="73"/>
      <c r="D825" s="73"/>
      <c r="E825" s="73"/>
      <c r="F825" s="74"/>
      <c r="G825" s="74"/>
      <c r="H825" s="74"/>
      <c r="I825" s="74"/>
      <c r="J825" s="74"/>
      <c r="K825" s="74"/>
      <c r="L825" s="74"/>
      <c r="M825" s="74"/>
      <c r="N825" s="74"/>
      <c r="O825" s="74"/>
      <c r="P825" s="74"/>
      <c r="Q825" s="74"/>
      <c r="R825" s="74"/>
      <c r="S825" s="74"/>
      <c r="T825" s="74"/>
      <c r="U825" s="74"/>
      <c r="V825" s="74"/>
      <c r="W825" s="74"/>
      <c r="X825" s="74"/>
      <c r="Y825" s="74"/>
      <c r="Z825" s="74"/>
    </row>
    <row r="826">
      <c r="A826" s="74"/>
      <c r="B826" s="73"/>
      <c r="C826" s="73"/>
      <c r="D826" s="73"/>
      <c r="E826" s="73"/>
      <c r="F826" s="74"/>
      <c r="G826" s="74"/>
      <c r="H826" s="74"/>
      <c r="I826" s="74"/>
      <c r="J826" s="74"/>
      <c r="K826" s="74"/>
      <c r="L826" s="74"/>
      <c r="M826" s="74"/>
      <c r="N826" s="74"/>
      <c r="O826" s="74"/>
      <c r="P826" s="74"/>
      <c r="Q826" s="74"/>
      <c r="R826" s="74"/>
      <c r="S826" s="74"/>
      <c r="T826" s="74"/>
      <c r="U826" s="74"/>
      <c r="V826" s="74"/>
      <c r="W826" s="74"/>
      <c r="X826" s="74"/>
      <c r="Y826" s="74"/>
      <c r="Z826" s="74"/>
    </row>
    <row r="827">
      <c r="A827" s="74"/>
      <c r="B827" s="73"/>
      <c r="C827" s="73"/>
      <c r="D827" s="73"/>
      <c r="E827" s="73"/>
      <c r="F827" s="74"/>
      <c r="G827" s="74"/>
      <c r="H827" s="74"/>
      <c r="I827" s="74"/>
      <c r="J827" s="74"/>
      <c r="K827" s="74"/>
      <c r="L827" s="74"/>
      <c r="M827" s="74"/>
      <c r="N827" s="74"/>
      <c r="O827" s="74"/>
      <c r="P827" s="74"/>
      <c r="Q827" s="74"/>
      <c r="R827" s="74"/>
      <c r="S827" s="74"/>
      <c r="T827" s="74"/>
      <c r="U827" s="74"/>
      <c r="V827" s="74"/>
      <c r="W827" s="74"/>
      <c r="X827" s="74"/>
      <c r="Y827" s="74"/>
      <c r="Z827" s="74"/>
    </row>
    <row r="828">
      <c r="A828" s="74"/>
      <c r="B828" s="73"/>
      <c r="C828" s="73"/>
      <c r="D828" s="73"/>
      <c r="E828" s="73"/>
      <c r="F828" s="74"/>
      <c r="G828" s="74"/>
      <c r="H828" s="74"/>
      <c r="I828" s="74"/>
      <c r="J828" s="74"/>
      <c r="K828" s="74"/>
      <c r="L828" s="74"/>
      <c r="M828" s="74"/>
      <c r="N828" s="74"/>
      <c r="O828" s="74"/>
      <c r="P828" s="74"/>
      <c r="Q828" s="74"/>
      <c r="R828" s="74"/>
      <c r="S828" s="74"/>
      <c r="T828" s="74"/>
      <c r="U828" s="74"/>
      <c r="V828" s="74"/>
      <c r="W828" s="74"/>
      <c r="X828" s="74"/>
      <c r="Y828" s="74"/>
      <c r="Z828" s="74"/>
    </row>
    <row r="829">
      <c r="A829" s="74"/>
      <c r="B829" s="73"/>
      <c r="C829" s="73"/>
      <c r="D829" s="73"/>
      <c r="E829" s="73"/>
      <c r="F829" s="74"/>
      <c r="G829" s="74"/>
      <c r="H829" s="74"/>
      <c r="I829" s="74"/>
      <c r="J829" s="74"/>
      <c r="K829" s="74"/>
      <c r="L829" s="74"/>
      <c r="M829" s="74"/>
      <c r="N829" s="74"/>
      <c r="O829" s="74"/>
      <c r="P829" s="74"/>
      <c r="Q829" s="74"/>
      <c r="R829" s="74"/>
      <c r="S829" s="74"/>
      <c r="T829" s="74"/>
      <c r="U829" s="74"/>
      <c r="V829" s="74"/>
      <c r="W829" s="74"/>
      <c r="X829" s="74"/>
      <c r="Y829" s="74"/>
      <c r="Z829" s="74"/>
    </row>
    <row r="830">
      <c r="A830" s="74"/>
      <c r="B830" s="73"/>
      <c r="C830" s="73"/>
      <c r="D830" s="73"/>
      <c r="E830" s="73"/>
      <c r="F830" s="74"/>
      <c r="G830" s="74"/>
      <c r="H830" s="74"/>
      <c r="I830" s="74"/>
      <c r="J830" s="74"/>
      <c r="K830" s="74"/>
      <c r="L830" s="74"/>
      <c r="M830" s="74"/>
      <c r="N830" s="74"/>
      <c r="O830" s="74"/>
      <c r="P830" s="74"/>
      <c r="Q830" s="74"/>
      <c r="R830" s="74"/>
      <c r="S830" s="74"/>
      <c r="T830" s="74"/>
      <c r="U830" s="74"/>
      <c r="V830" s="74"/>
      <c r="W830" s="74"/>
      <c r="X830" s="74"/>
      <c r="Y830" s="74"/>
      <c r="Z830" s="74"/>
    </row>
    <row r="831">
      <c r="A831" s="74"/>
      <c r="B831" s="73"/>
      <c r="C831" s="73"/>
      <c r="D831" s="73"/>
      <c r="E831" s="73"/>
      <c r="F831" s="74"/>
      <c r="G831" s="74"/>
      <c r="H831" s="74"/>
      <c r="I831" s="74"/>
      <c r="J831" s="74"/>
      <c r="K831" s="74"/>
      <c r="L831" s="74"/>
      <c r="M831" s="74"/>
      <c r="N831" s="74"/>
      <c r="O831" s="74"/>
      <c r="P831" s="74"/>
      <c r="Q831" s="74"/>
      <c r="R831" s="74"/>
      <c r="S831" s="74"/>
      <c r="T831" s="74"/>
      <c r="U831" s="74"/>
      <c r="V831" s="74"/>
      <c r="W831" s="74"/>
      <c r="X831" s="74"/>
      <c r="Y831" s="74"/>
      <c r="Z831" s="74"/>
    </row>
    <row r="832">
      <c r="A832" s="74"/>
      <c r="B832" s="73"/>
      <c r="C832" s="73"/>
      <c r="D832" s="73"/>
      <c r="E832" s="73"/>
      <c r="F832" s="74"/>
      <c r="G832" s="74"/>
      <c r="H832" s="74"/>
      <c r="I832" s="74"/>
      <c r="J832" s="74"/>
      <c r="K832" s="74"/>
      <c r="L832" s="74"/>
      <c r="M832" s="74"/>
      <c r="N832" s="74"/>
      <c r="O832" s="74"/>
      <c r="P832" s="74"/>
      <c r="Q832" s="74"/>
      <c r="R832" s="74"/>
      <c r="S832" s="74"/>
      <c r="T832" s="74"/>
      <c r="U832" s="74"/>
      <c r="V832" s="74"/>
      <c r="W832" s="74"/>
      <c r="X832" s="74"/>
      <c r="Y832" s="74"/>
      <c r="Z832" s="74"/>
    </row>
    <row r="833">
      <c r="A833" s="74"/>
      <c r="B833" s="73"/>
      <c r="C833" s="73"/>
      <c r="D833" s="73"/>
      <c r="E833" s="73"/>
      <c r="F833" s="74"/>
      <c r="G833" s="74"/>
      <c r="H833" s="74"/>
      <c r="I833" s="74"/>
      <c r="J833" s="74"/>
      <c r="K833" s="74"/>
      <c r="L833" s="74"/>
      <c r="M833" s="74"/>
      <c r="N833" s="74"/>
      <c r="O833" s="74"/>
      <c r="P833" s="74"/>
      <c r="Q833" s="74"/>
      <c r="R833" s="74"/>
      <c r="S833" s="74"/>
      <c r="T833" s="74"/>
      <c r="U833" s="74"/>
      <c r="V833" s="74"/>
      <c r="W833" s="74"/>
      <c r="X833" s="74"/>
      <c r="Y833" s="74"/>
      <c r="Z833" s="74"/>
    </row>
    <row r="834">
      <c r="A834" s="74"/>
      <c r="B834" s="73"/>
      <c r="C834" s="73"/>
      <c r="D834" s="73"/>
      <c r="E834" s="73"/>
      <c r="F834" s="74"/>
      <c r="G834" s="74"/>
      <c r="H834" s="74"/>
      <c r="I834" s="74"/>
      <c r="J834" s="74"/>
      <c r="K834" s="74"/>
      <c r="L834" s="74"/>
      <c r="M834" s="74"/>
      <c r="N834" s="74"/>
      <c r="O834" s="74"/>
      <c r="P834" s="74"/>
      <c r="Q834" s="74"/>
      <c r="R834" s="74"/>
      <c r="S834" s="74"/>
      <c r="T834" s="74"/>
      <c r="U834" s="74"/>
      <c r="V834" s="74"/>
      <c r="W834" s="74"/>
      <c r="X834" s="74"/>
      <c r="Y834" s="74"/>
      <c r="Z834" s="74"/>
    </row>
    <row r="835">
      <c r="A835" s="74"/>
      <c r="B835" s="73"/>
      <c r="C835" s="73"/>
      <c r="D835" s="73"/>
      <c r="E835" s="73"/>
      <c r="F835" s="74"/>
      <c r="G835" s="74"/>
      <c r="H835" s="74"/>
      <c r="I835" s="74"/>
      <c r="J835" s="74"/>
      <c r="K835" s="74"/>
      <c r="L835" s="74"/>
      <c r="M835" s="74"/>
      <c r="N835" s="74"/>
      <c r="O835" s="74"/>
      <c r="P835" s="74"/>
      <c r="Q835" s="74"/>
      <c r="R835" s="74"/>
      <c r="S835" s="74"/>
      <c r="T835" s="74"/>
      <c r="U835" s="74"/>
      <c r="V835" s="74"/>
      <c r="W835" s="74"/>
      <c r="X835" s="74"/>
      <c r="Y835" s="74"/>
      <c r="Z835" s="74"/>
    </row>
    <row r="836">
      <c r="A836" s="74"/>
      <c r="B836" s="73"/>
      <c r="C836" s="73"/>
      <c r="D836" s="73"/>
      <c r="E836" s="73"/>
      <c r="F836" s="74"/>
      <c r="G836" s="74"/>
      <c r="H836" s="74"/>
      <c r="I836" s="74"/>
      <c r="J836" s="74"/>
      <c r="K836" s="74"/>
      <c r="L836" s="74"/>
      <c r="M836" s="74"/>
      <c r="N836" s="74"/>
      <c r="O836" s="74"/>
      <c r="P836" s="74"/>
      <c r="Q836" s="74"/>
      <c r="R836" s="74"/>
      <c r="S836" s="74"/>
      <c r="T836" s="74"/>
      <c r="U836" s="74"/>
      <c r="V836" s="74"/>
      <c r="W836" s="74"/>
      <c r="X836" s="74"/>
      <c r="Y836" s="74"/>
      <c r="Z836" s="74"/>
    </row>
    <row r="837">
      <c r="A837" s="74"/>
      <c r="B837" s="73"/>
      <c r="C837" s="73"/>
      <c r="D837" s="73"/>
      <c r="E837" s="73"/>
      <c r="F837" s="74"/>
      <c r="G837" s="74"/>
      <c r="H837" s="74"/>
      <c r="I837" s="74"/>
      <c r="J837" s="74"/>
      <c r="K837" s="74"/>
      <c r="L837" s="74"/>
      <c r="M837" s="74"/>
      <c r="N837" s="74"/>
      <c r="O837" s="74"/>
      <c r="P837" s="74"/>
      <c r="Q837" s="74"/>
      <c r="R837" s="74"/>
      <c r="S837" s="74"/>
      <c r="T837" s="74"/>
      <c r="U837" s="74"/>
      <c r="V837" s="74"/>
      <c r="W837" s="74"/>
      <c r="X837" s="74"/>
      <c r="Y837" s="74"/>
      <c r="Z837" s="74"/>
    </row>
    <row r="838">
      <c r="A838" s="74"/>
      <c r="B838" s="73"/>
      <c r="C838" s="73"/>
      <c r="D838" s="73"/>
      <c r="E838" s="73"/>
      <c r="F838" s="74"/>
      <c r="G838" s="74"/>
      <c r="H838" s="74"/>
      <c r="I838" s="74"/>
      <c r="J838" s="74"/>
      <c r="K838" s="74"/>
      <c r="L838" s="74"/>
      <c r="M838" s="74"/>
      <c r="N838" s="74"/>
      <c r="O838" s="74"/>
      <c r="P838" s="74"/>
      <c r="Q838" s="74"/>
      <c r="R838" s="74"/>
      <c r="S838" s="74"/>
      <c r="T838" s="74"/>
      <c r="U838" s="74"/>
      <c r="V838" s="74"/>
      <c r="W838" s="74"/>
      <c r="X838" s="74"/>
      <c r="Y838" s="74"/>
      <c r="Z838" s="74"/>
    </row>
    <row r="839">
      <c r="A839" s="74"/>
      <c r="B839" s="73"/>
      <c r="C839" s="73"/>
      <c r="D839" s="73"/>
      <c r="E839" s="73"/>
      <c r="F839" s="74"/>
      <c r="G839" s="74"/>
      <c r="H839" s="74"/>
      <c r="I839" s="74"/>
      <c r="J839" s="74"/>
      <c r="K839" s="74"/>
      <c r="L839" s="74"/>
      <c r="M839" s="74"/>
      <c r="N839" s="74"/>
      <c r="O839" s="74"/>
      <c r="P839" s="74"/>
      <c r="Q839" s="74"/>
      <c r="R839" s="74"/>
      <c r="S839" s="74"/>
      <c r="T839" s="74"/>
      <c r="U839" s="74"/>
      <c r="V839" s="74"/>
      <c r="W839" s="74"/>
      <c r="X839" s="74"/>
      <c r="Y839" s="74"/>
      <c r="Z839" s="74"/>
    </row>
    <row r="840">
      <c r="A840" s="74"/>
      <c r="B840" s="73"/>
      <c r="C840" s="73"/>
      <c r="D840" s="73"/>
      <c r="E840" s="73"/>
      <c r="F840" s="74"/>
      <c r="G840" s="74"/>
      <c r="H840" s="74"/>
      <c r="I840" s="74"/>
      <c r="J840" s="74"/>
      <c r="K840" s="74"/>
      <c r="L840" s="74"/>
      <c r="M840" s="74"/>
      <c r="N840" s="74"/>
      <c r="O840" s="74"/>
      <c r="P840" s="74"/>
      <c r="Q840" s="74"/>
      <c r="R840" s="74"/>
      <c r="S840" s="74"/>
      <c r="T840" s="74"/>
      <c r="U840" s="74"/>
      <c r="V840" s="74"/>
      <c r="W840" s="74"/>
      <c r="X840" s="74"/>
      <c r="Y840" s="74"/>
      <c r="Z840" s="74"/>
    </row>
    <row r="841">
      <c r="A841" s="74"/>
      <c r="B841" s="73"/>
      <c r="C841" s="73"/>
      <c r="D841" s="73"/>
      <c r="E841" s="73"/>
      <c r="F841" s="74"/>
      <c r="G841" s="74"/>
      <c r="H841" s="74"/>
      <c r="I841" s="74"/>
      <c r="J841" s="74"/>
      <c r="K841" s="74"/>
      <c r="L841" s="74"/>
      <c r="M841" s="74"/>
      <c r="N841" s="74"/>
      <c r="O841" s="74"/>
      <c r="P841" s="74"/>
      <c r="Q841" s="74"/>
      <c r="R841" s="74"/>
      <c r="S841" s="74"/>
      <c r="T841" s="74"/>
      <c r="U841" s="74"/>
      <c r="V841" s="74"/>
      <c r="W841" s="74"/>
      <c r="X841" s="74"/>
      <c r="Y841" s="74"/>
      <c r="Z841" s="74"/>
    </row>
    <row r="842">
      <c r="A842" s="74"/>
      <c r="B842" s="73"/>
      <c r="C842" s="73"/>
      <c r="D842" s="73"/>
      <c r="E842" s="73"/>
      <c r="F842" s="74"/>
      <c r="G842" s="74"/>
      <c r="H842" s="74"/>
      <c r="I842" s="74"/>
      <c r="J842" s="74"/>
      <c r="K842" s="74"/>
      <c r="L842" s="74"/>
      <c r="M842" s="74"/>
      <c r="N842" s="74"/>
      <c r="O842" s="74"/>
      <c r="P842" s="74"/>
      <c r="Q842" s="74"/>
      <c r="R842" s="74"/>
      <c r="S842" s="74"/>
      <c r="T842" s="74"/>
      <c r="U842" s="74"/>
      <c r="V842" s="74"/>
      <c r="W842" s="74"/>
      <c r="X842" s="74"/>
      <c r="Y842" s="74"/>
      <c r="Z842" s="74"/>
    </row>
    <row r="843">
      <c r="A843" s="74"/>
      <c r="B843" s="73"/>
      <c r="C843" s="73"/>
      <c r="D843" s="73"/>
      <c r="E843" s="73"/>
      <c r="F843" s="74"/>
      <c r="G843" s="74"/>
      <c r="H843" s="74"/>
      <c r="I843" s="74"/>
      <c r="J843" s="74"/>
      <c r="K843" s="74"/>
      <c r="L843" s="74"/>
      <c r="M843" s="74"/>
      <c r="N843" s="74"/>
      <c r="O843" s="74"/>
      <c r="P843" s="74"/>
      <c r="Q843" s="74"/>
      <c r="R843" s="74"/>
      <c r="S843" s="74"/>
      <c r="T843" s="74"/>
      <c r="U843" s="74"/>
      <c r="V843" s="74"/>
      <c r="W843" s="74"/>
      <c r="X843" s="74"/>
      <c r="Y843" s="74"/>
      <c r="Z843" s="74"/>
    </row>
    <row r="844">
      <c r="A844" s="74"/>
      <c r="B844" s="73"/>
      <c r="C844" s="73"/>
      <c r="D844" s="73"/>
      <c r="E844" s="73"/>
      <c r="F844" s="74"/>
      <c r="G844" s="74"/>
      <c r="H844" s="74"/>
      <c r="I844" s="74"/>
      <c r="J844" s="74"/>
      <c r="K844" s="74"/>
      <c r="L844" s="74"/>
      <c r="M844" s="74"/>
      <c r="N844" s="74"/>
      <c r="O844" s="74"/>
      <c r="P844" s="74"/>
      <c r="Q844" s="74"/>
      <c r="R844" s="74"/>
      <c r="S844" s="74"/>
      <c r="T844" s="74"/>
      <c r="U844" s="74"/>
      <c r="V844" s="74"/>
      <c r="W844" s="74"/>
      <c r="X844" s="74"/>
      <c r="Y844" s="74"/>
      <c r="Z844" s="74"/>
    </row>
    <row r="845">
      <c r="A845" s="74"/>
      <c r="B845" s="73"/>
      <c r="C845" s="73"/>
      <c r="D845" s="73"/>
      <c r="E845" s="73"/>
      <c r="F845" s="74"/>
      <c r="G845" s="74"/>
      <c r="H845" s="74"/>
      <c r="I845" s="74"/>
      <c r="J845" s="74"/>
      <c r="K845" s="74"/>
      <c r="L845" s="74"/>
      <c r="M845" s="74"/>
      <c r="N845" s="74"/>
      <c r="O845" s="74"/>
      <c r="P845" s="74"/>
      <c r="Q845" s="74"/>
      <c r="R845" s="74"/>
      <c r="S845" s="74"/>
      <c r="T845" s="74"/>
      <c r="U845" s="74"/>
      <c r="V845" s="74"/>
      <c r="W845" s="74"/>
      <c r="X845" s="74"/>
      <c r="Y845" s="74"/>
      <c r="Z845" s="74"/>
    </row>
    <row r="846">
      <c r="A846" s="74"/>
      <c r="B846" s="73"/>
      <c r="C846" s="73"/>
      <c r="D846" s="73"/>
      <c r="E846" s="73"/>
      <c r="F846" s="74"/>
      <c r="G846" s="74"/>
      <c r="H846" s="74"/>
      <c r="I846" s="74"/>
      <c r="J846" s="74"/>
      <c r="K846" s="74"/>
      <c r="L846" s="74"/>
      <c r="M846" s="74"/>
      <c r="N846" s="74"/>
      <c r="O846" s="74"/>
      <c r="P846" s="74"/>
      <c r="Q846" s="74"/>
      <c r="R846" s="74"/>
      <c r="S846" s="74"/>
      <c r="T846" s="74"/>
      <c r="U846" s="74"/>
      <c r="V846" s="74"/>
      <c r="W846" s="74"/>
      <c r="X846" s="74"/>
      <c r="Y846" s="74"/>
      <c r="Z846" s="74"/>
    </row>
    <row r="847">
      <c r="A847" s="74"/>
      <c r="B847" s="73"/>
      <c r="C847" s="73"/>
      <c r="D847" s="73"/>
      <c r="E847" s="73"/>
      <c r="F847" s="74"/>
      <c r="G847" s="74"/>
      <c r="H847" s="74"/>
      <c r="I847" s="74"/>
      <c r="J847" s="74"/>
      <c r="K847" s="74"/>
      <c r="L847" s="74"/>
      <c r="M847" s="74"/>
      <c r="N847" s="74"/>
      <c r="O847" s="74"/>
      <c r="P847" s="74"/>
      <c r="Q847" s="74"/>
      <c r="R847" s="74"/>
      <c r="S847" s="74"/>
      <c r="T847" s="74"/>
      <c r="U847" s="74"/>
      <c r="V847" s="74"/>
      <c r="W847" s="74"/>
      <c r="X847" s="74"/>
      <c r="Y847" s="74"/>
      <c r="Z847" s="74"/>
    </row>
    <row r="848">
      <c r="A848" s="74"/>
      <c r="B848" s="73"/>
      <c r="C848" s="73"/>
      <c r="D848" s="73"/>
      <c r="E848" s="73"/>
      <c r="F848" s="74"/>
      <c r="G848" s="74"/>
      <c r="H848" s="74"/>
      <c r="I848" s="74"/>
      <c r="J848" s="74"/>
      <c r="K848" s="74"/>
      <c r="L848" s="74"/>
      <c r="M848" s="74"/>
      <c r="N848" s="74"/>
      <c r="O848" s="74"/>
      <c r="P848" s="74"/>
      <c r="Q848" s="74"/>
      <c r="R848" s="74"/>
      <c r="S848" s="74"/>
      <c r="T848" s="74"/>
      <c r="U848" s="74"/>
      <c r="V848" s="74"/>
      <c r="W848" s="74"/>
      <c r="X848" s="74"/>
      <c r="Y848" s="74"/>
      <c r="Z848" s="74"/>
    </row>
    <row r="849">
      <c r="A849" s="74"/>
      <c r="B849" s="73"/>
      <c r="C849" s="73"/>
      <c r="D849" s="73"/>
      <c r="E849" s="73"/>
      <c r="F849" s="74"/>
      <c r="G849" s="74"/>
      <c r="H849" s="74"/>
      <c r="I849" s="74"/>
      <c r="J849" s="74"/>
      <c r="K849" s="74"/>
      <c r="L849" s="74"/>
      <c r="M849" s="74"/>
      <c r="N849" s="74"/>
      <c r="O849" s="74"/>
      <c r="P849" s="74"/>
      <c r="Q849" s="74"/>
      <c r="R849" s="74"/>
      <c r="S849" s="74"/>
      <c r="T849" s="74"/>
      <c r="U849" s="74"/>
      <c r="V849" s="74"/>
      <c r="W849" s="74"/>
      <c r="X849" s="74"/>
      <c r="Y849" s="74"/>
      <c r="Z849" s="74"/>
    </row>
    <row r="850">
      <c r="A850" s="74"/>
      <c r="B850" s="73"/>
      <c r="C850" s="73"/>
      <c r="D850" s="73"/>
      <c r="E850" s="73"/>
      <c r="F850" s="74"/>
      <c r="G850" s="74"/>
      <c r="H850" s="74"/>
      <c r="I850" s="74"/>
      <c r="J850" s="74"/>
      <c r="K850" s="74"/>
      <c r="L850" s="74"/>
      <c r="M850" s="74"/>
      <c r="N850" s="74"/>
      <c r="O850" s="74"/>
      <c r="P850" s="74"/>
      <c r="Q850" s="74"/>
      <c r="R850" s="74"/>
      <c r="S850" s="74"/>
      <c r="T850" s="74"/>
      <c r="U850" s="74"/>
      <c r="V850" s="74"/>
      <c r="W850" s="74"/>
      <c r="X850" s="74"/>
      <c r="Y850" s="74"/>
      <c r="Z850" s="74"/>
    </row>
    <row r="851">
      <c r="A851" s="74"/>
      <c r="B851" s="73"/>
      <c r="C851" s="73"/>
      <c r="D851" s="73"/>
      <c r="E851" s="73"/>
      <c r="F851" s="74"/>
      <c r="G851" s="74"/>
      <c r="H851" s="74"/>
      <c r="I851" s="74"/>
      <c r="J851" s="74"/>
      <c r="K851" s="74"/>
      <c r="L851" s="74"/>
      <c r="M851" s="74"/>
      <c r="N851" s="74"/>
      <c r="O851" s="74"/>
      <c r="P851" s="74"/>
      <c r="Q851" s="74"/>
      <c r="R851" s="74"/>
      <c r="S851" s="74"/>
      <c r="T851" s="74"/>
      <c r="U851" s="74"/>
      <c r="V851" s="74"/>
      <c r="W851" s="74"/>
      <c r="X851" s="74"/>
      <c r="Y851" s="74"/>
      <c r="Z851" s="74"/>
    </row>
    <row r="852">
      <c r="A852" s="74"/>
      <c r="B852" s="73"/>
      <c r="C852" s="73"/>
      <c r="D852" s="73"/>
      <c r="E852" s="73"/>
      <c r="F852" s="74"/>
      <c r="G852" s="74"/>
      <c r="H852" s="74"/>
      <c r="I852" s="74"/>
      <c r="J852" s="74"/>
      <c r="K852" s="74"/>
      <c r="L852" s="74"/>
      <c r="M852" s="74"/>
      <c r="N852" s="74"/>
      <c r="O852" s="74"/>
      <c r="P852" s="74"/>
      <c r="Q852" s="74"/>
      <c r="R852" s="74"/>
      <c r="S852" s="74"/>
      <c r="T852" s="74"/>
      <c r="U852" s="74"/>
      <c r="V852" s="74"/>
      <c r="W852" s="74"/>
      <c r="X852" s="74"/>
      <c r="Y852" s="74"/>
      <c r="Z852" s="74"/>
    </row>
    <row r="853">
      <c r="A853" s="74"/>
      <c r="B853" s="73"/>
      <c r="C853" s="73"/>
      <c r="D853" s="73"/>
      <c r="E853" s="73"/>
      <c r="F853" s="74"/>
      <c r="G853" s="74"/>
      <c r="H853" s="74"/>
      <c r="I853" s="74"/>
      <c r="J853" s="74"/>
      <c r="K853" s="74"/>
      <c r="L853" s="74"/>
      <c r="M853" s="74"/>
      <c r="N853" s="74"/>
      <c r="O853" s="74"/>
      <c r="P853" s="74"/>
      <c r="Q853" s="74"/>
      <c r="R853" s="74"/>
      <c r="S853" s="74"/>
      <c r="T853" s="74"/>
      <c r="U853" s="74"/>
      <c r="V853" s="74"/>
      <c r="W853" s="74"/>
      <c r="X853" s="74"/>
      <c r="Y853" s="74"/>
      <c r="Z853" s="74"/>
    </row>
    <row r="854">
      <c r="A854" s="74"/>
      <c r="B854" s="73"/>
      <c r="C854" s="73"/>
      <c r="D854" s="73"/>
      <c r="E854" s="73"/>
      <c r="F854" s="74"/>
      <c r="G854" s="74"/>
      <c r="H854" s="74"/>
      <c r="I854" s="74"/>
      <c r="J854" s="74"/>
      <c r="K854" s="74"/>
      <c r="L854" s="74"/>
      <c r="M854" s="74"/>
      <c r="N854" s="74"/>
      <c r="O854" s="74"/>
      <c r="P854" s="74"/>
      <c r="Q854" s="74"/>
      <c r="R854" s="74"/>
      <c r="S854" s="74"/>
      <c r="T854" s="74"/>
      <c r="U854" s="74"/>
      <c r="V854" s="74"/>
      <c r="W854" s="74"/>
      <c r="X854" s="74"/>
      <c r="Y854" s="74"/>
      <c r="Z854" s="74"/>
    </row>
    <row r="855">
      <c r="A855" s="74"/>
      <c r="B855" s="73"/>
      <c r="C855" s="73"/>
      <c r="D855" s="73"/>
      <c r="E855" s="73"/>
      <c r="F855" s="74"/>
      <c r="G855" s="74"/>
      <c r="H855" s="74"/>
      <c r="I855" s="74"/>
      <c r="J855" s="74"/>
      <c r="K855" s="74"/>
      <c r="L855" s="74"/>
      <c r="M855" s="74"/>
      <c r="N855" s="74"/>
      <c r="O855" s="74"/>
      <c r="P855" s="74"/>
      <c r="Q855" s="74"/>
      <c r="R855" s="74"/>
      <c r="S855" s="74"/>
      <c r="T855" s="74"/>
      <c r="U855" s="74"/>
      <c r="V855" s="74"/>
      <c r="W855" s="74"/>
      <c r="X855" s="74"/>
      <c r="Y855" s="74"/>
      <c r="Z855" s="74"/>
    </row>
    <row r="856">
      <c r="A856" s="74"/>
      <c r="B856" s="73"/>
      <c r="C856" s="73"/>
      <c r="D856" s="73"/>
      <c r="E856" s="73"/>
      <c r="F856" s="74"/>
      <c r="G856" s="74"/>
      <c r="H856" s="74"/>
      <c r="I856" s="74"/>
      <c r="J856" s="74"/>
      <c r="K856" s="74"/>
      <c r="L856" s="74"/>
      <c r="M856" s="74"/>
      <c r="N856" s="74"/>
      <c r="O856" s="74"/>
      <c r="P856" s="74"/>
      <c r="Q856" s="74"/>
      <c r="R856" s="74"/>
      <c r="S856" s="74"/>
      <c r="T856" s="74"/>
      <c r="U856" s="74"/>
      <c r="V856" s="74"/>
      <c r="W856" s="74"/>
      <c r="X856" s="74"/>
      <c r="Y856" s="74"/>
      <c r="Z856" s="74"/>
    </row>
    <row r="857">
      <c r="A857" s="74"/>
      <c r="B857" s="73"/>
      <c r="C857" s="73"/>
      <c r="D857" s="73"/>
      <c r="E857" s="73"/>
      <c r="F857" s="74"/>
      <c r="G857" s="74"/>
      <c r="H857" s="74"/>
      <c r="I857" s="74"/>
      <c r="J857" s="74"/>
      <c r="K857" s="74"/>
      <c r="L857" s="74"/>
      <c r="M857" s="74"/>
      <c r="N857" s="74"/>
      <c r="O857" s="74"/>
      <c r="P857" s="74"/>
      <c r="Q857" s="74"/>
      <c r="R857" s="74"/>
      <c r="S857" s="74"/>
      <c r="T857" s="74"/>
      <c r="U857" s="74"/>
      <c r="V857" s="74"/>
      <c r="W857" s="74"/>
      <c r="X857" s="74"/>
      <c r="Y857" s="74"/>
      <c r="Z857" s="74"/>
    </row>
    <row r="858">
      <c r="A858" s="74"/>
      <c r="B858" s="73"/>
      <c r="C858" s="73"/>
      <c r="D858" s="73"/>
      <c r="E858" s="73"/>
      <c r="F858" s="74"/>
      <c r="G858" s="74"/>
      <c r="H858" s="74"/>
      <c r="I858" s="74"/>
      <c r="J858" s="74"/>
      <c r="K858" s="74"/>
      <c r="L858" s="74"/>
      <c r="M858" s="74"/>
      <c r="N858" s="74"/>
      <c r="O858" s="74"/>
      <c r="P858" s="74"/>
      <c r="Q858" s="74"/>
      <c r="R858" s="74"/>
      <c r="S858" s="74"/>
      <c r="T858" s="74"/>
      <c r="U858" s="74"/>
      <c r="V858" s="74"/>
      <c r="W858" s="74"/>
      <c r="X858" s="74"/>
      <c r="Y858" s="74"/>
      <c r="Z858" s="74"/>
    </row>
    <row r="859">
      <c r="A859" s="74"/>
      <c r="B859" s="73"/>
      <c r="C859" s="73"/>
      <c r="D859" s="73"/>
      <c r="E859" s="73"/>
      <c r="F859" s="74"/>
      <c r="G859" s="74"/>
      <c r="H859" s="74"/>
      <c r="I859" s="74"/>
      <c r="J859" s="74"/>
      <c r="K859" s="74"/>
      <c r="L859" s="74"/>
      <c r="M859" s="74"/>
      <c r="N859" s="74"/>
      <c r="O859" s="74"/>
      <c r="P859" s="74"/>
      <c r="Q859" s="74"/>
      <c r="R859" s="74"/>
      <c r="S859" s="74"/>
      <c r="T859" s="74"/>
      <c r="U859" s="74"/>
      <c r="V859" s="74"/>
      <c r="W859" s="74"/>
      <c r="X859" s="74"/>
      <c r="Y859" s="74"/>
      <c r="Z859" s="74"/>
    </row>
    <row r="860">
      <c r="A860" s="74"/>
      <c r="B860" s="73"/>
      <c r="C860" s="73"/>
      <c r="D860" s="73"/>
      <c r="E860" s="73"/>
      <c r="F860" s="74"/>
      <c r="G860" s="74"/>
      <c r="H860" s="74"/>
      <c r="I860" s="74"/>
      <c r="J860" s="74"/>
      <c r="K860" s="74"/>
      <c r="L860" s="74"/>
      <c r="M860" s="74"/>
      <c r="N860" s="74"/>
      <c r="O860" s="74"/>
      <c r="P860" s="74"/>
      <c r="Q860" s="74"/>
      <c r="R860" s="74"/>
      <c r="S860" s="74"/>
      <c r="T860" s="74"/>
      <c r="U860" s="74"/>
      <c r="V860" s="74"/>
      <c r="W860" s="74"/>
      <c r="X860" s="74"/>
      <c r="Y860" s="74"/>
      <c r="Z860" s="74"/>
    </row>
    <row r="861">
      <c r="A861" s="74"/>
      <c r="B861" s="73"/>
      <c r="C861" s="73"/>
      <c r="D861" s="73"/>
      <c r="E861" s="73"/>
      <c r="F861" s="74"/>
      <c r="G861" s="74"/>
      <c r="H861" s="74"/>
      <c r="I861" s="74"/>
      <c r="J861" s="74"/>
      <c r="K861" s="74"/>
      <c r="L861" s="74"/>
      <c r="M861" s="74"/>
      <c r="N861" s="74"/>
      <c r="O861" s="74"/>
      <c r="P861" s="74"/>
      <c r="Q861" s="74"/>
      <c r="R861" s="74"/>
      <c r="S861" s="74"/>
      <c r="T861" s="74"/>
      <c r="U861" s="74"/>
      <c r="V861" s="74"/>
      <c r="W861" s="74"/>
      <c r="X861" s="74"/>
      <c r="Y861" s="74"/>
      <c r="Z861" s="74"/>
    </row>
    <row r="862">
      <c r="A862" s="74"/>
      <c r="B862" s="73"/>
      <c r="C862" s="73"/>
      <c r="D862" s="73"/>
      <c r="E862" s="73"/>
      <c r="F862" s="74"/>
      <c r="G862" s="74"/>
      <c r="H862" s="74"/>
      <c r="I862" s="74"/>
      <c r="J862" s="74"/>
      <c r="K862" s="74"/>
      <c r="L862" s="74"/>
      <c r="M862" s="74"/>
      <c r="N862" s="74"/>
      <c r="O862" s="74"/>
      <c r="P862" s="74"/>
      <c r="Q862" s="74"/>
      <c r="R862" s="74"/>
      <c r="S862" s="74"/>
      <c r="T862" s="74"/>
      <c r="U862" s="74"/>
      <c r="V862" s="74"/>
      <c r="W862" s="74"/>
      <c r="X862" s="74"/>
      <c r="Y862" s="74"/>
      <c r="Z862" s="74"/>
    </row>
    <row r="863">
      <c r="A863" s="74"/>
      <c r="B863" s="73"/>
      <c r="C863" s="73"/>
      <c r="D863" s="73"/>
      <c r="E863" s="73"/>
      <c r="F863" s="74"/>
      <c r="G863" s="74"/>
      <c r="H863" s="74"/>
      <c r="I863" s="74"/>
      <c r="J863" s="74"/>
      <c r="K863" s="74"/>
      <c r="L863" s="74"/>
      <c r="M863" s="74"/>
      <c r="N863" s="74"/>
      <c r="O863" s="74"/>
      <c r="P863" s="74"/>
      <c r="Q863" s="74"/>
      <c r="R863" s="74"/>
      <c r="S863" s="74"/>
      <c r="T863" s="74"/>
      <c r="U863" s="74"/>
      <c r="V863" s="74"/>
      <c r="W863" s="74"/>
      <c r="X863" s="74"/>
      <c r="Y863" s="74"/>
      <c r="Z863" s="74"/>
    </row>
    <row r="864">
      <c r="A864" s="74"/>
      <c r="B864" s="73"/>
      <c r="C864" s="73"/>
      <c r="D864" s="73"/>
      <c r="E864" s="73"/>
      <c r="F864" s="74"/>
      <c r="G864" s="74"/>
      <c r="H864" s="74"/>
      <c r="I864" s="74"/>
      <c r="J864" s="74"/>
      <c r="K864" s="74"/>
      <c r="L864" s="74"/>
      <c r="M864" s="74"/>
      <c r="N864" s="74"/>
      <c r="O864" s="74"/>
      <c r="P864" s="74"/>
      <c r="Q864" s="74"/>
      <c r="R864" s="74"/>
      <c r="S864" s="74"/>
      <c r="T864" s="74"/>
      <c r="U864" s="74"/>
      <c r="V864" s="74"/>
      <c r="W864" s="74"/>
      <c r="X864" s="74"/>
      <c r="Y864" s="74"/>
      <c r="Z864" s="74"/>
    </row>
    <row r="865">
      <c r="A865" s="74"/>
      <c r="B865" s="73"/>
      <c r="C865" s="73"/>
      <c r="D865" s="73"/>
      <c r="E865" s="73"/>
      <c r="F865" s="74"/>
      <c r="G865" s="74"/>
      <c r="H865" s="74"/>
      <c r="I865" s="74"/>
      <c r="J865" s="74"/>
      <c r="K865" s="74"/>
      <c r="L865" s="74"/>
      <c r="M865" s="74"/>
      <c r="N865" s="74"/>
      <c r="O865" s="74"/>
      <c r="P865" s="74"/>
      <c r="Q865" s="74"/>
      <c r="R865" s="74"/>
      <c r="S865" s="74"/>
      <c r="T865" s="74"/>
      <c r="U865" s="74"/>
      <c r="V865" s="74"/>
      <c r="W865" s="74"/>
      <c r="X865" s="74"/>
      <c r="Y865" s="74"/>
      <c r="Z865" s="74"/>
    </row>
    <row r="866">
      <c r="A866" s="74"/>
      <c r="B866" s="73"/>
      <c r="C866" s="73"/>
      <c r="D866" s="73"/>
      <c r="E866" s="73"/>
      <c r="F866" s="74"/>
      <c r="G866" s="74"/>
      <c r="H866" s="74"/>
      <c r="I866" s="74"/>
      <c r="J866" s="74"/>
      <c r="K866" s="74"/>
      <c r="L866" s="74"/>
      <c r="M866" s="74"/>
      <c r="N866" s="74"/>
      <c r="O866" s="74"/>
      <c r="P866" s="74"/>
      <c r="Q866" s="74"/>
      <c r="R866" s="74"/>
      <c r="S866" s="74"/>
      <c r="T866" s="74"/>
      <c r="U866" s="74"/>
      <c r="V866" s="74"/>
      <c r="W866" s="74"/>
      <c r="X866" s="74"/>
      <c r="Y866" s="74"/>
      <c r="Z866" s="74"/>
    </row>
    <row r="867">
      <c r="A867" s="74"/>
      <c r="B867" s="73"/>
      <c r="C867" s="73"/>
      <c r="D867" s="73"/>
      <c r="E867" s="73"/>
      <c r="F867" s="74"/>
      <c r="G867" s="74"/>
      <c r="H867" s="74"/>
      <c r="I867" s="74"/>
      <c r="J867" s="74"/>
      <c r="K867" s="74"/>
      <c r="L867" s="74"/>
      <c r="M867" s="74"/>
      <c r="N867" s="74"/>
      <c r="O867" s="74"/>
      <c r="P867" s="74"/>
      <c r="Q867" s="74"/>
      <c r="R867" s="74"/>
      <c r="S867" s="74"/>
      <c r="T867" s="74"/>
      <c r="U867" s="74"/>
      <c r="V867" s="74"/>
      <c r="W867" s="74"/>
      <c r="X867" s="74"/>
      <c r="Y867" s="74"/>
      <c r="Z867" s="74"/>
    </row>
    <row r="868">
      <c r="A868" s="74"/>
      <c r="B868" s="73"/>
      <c r="C868" s="73"/>
      <c r="D868" s="73"/>
      <c r="E868" s="73"/>
      <c r="F868" s="74"/>
      <c r="G868" s="74"/>
      <c r="H868" s="74"/>
      <c r="I868" s="74"/>
      <c r="J868" s="74"/>
      <c r="K868" s="74"/>
      <c r="L868" s="74"/>
      <c r="M868" s="74"/>
      <c r="N868" s="74"/>
      <c r="O868" s="74"/>
      <c r="P868" s="74"/>
      <c r="Q868" s="74"/>
      <c r="R868" s="74"/>
      <c r="S868" s="74"/>
      <c r="T868" s="74"/>
      <c r="U868" s="74"/>
      <c r="V868" s="74"/>
      <c r="W868" s="74"/>
      <c r="X868" s="74"/>
      <c r="Y868" s="74"/>
      <c r="Z868" s="74"/>
    </row>
    <row r="869">
      <c r="A869" s="74"/>
      <c r="B869" s="73"/>
      <c r="C869" s="73"/>
      <c r="D869" s="73"/>
      <c r="E869" s="73"/>
      <c r="F869" s="74"/>
      <c r="G869" s="74"/>
      <c r="H869" s="74"/>
      <c r="I869" s="74"/>
      <c r="J869" s="74"/>
      <c r="K869" s="74"/>
      <c r="L869" s="74"/>
      <c r="M869" s="74"/>
      <c r="N869" s="74"/>
      <c r="O869" s="74"/>
      <c r="P869" s="74"/>
      <c r="Q869" s="74"/>
      <c r="R869" s="74"/>
      <c r="S869" s="74"/>
      <c r="T869" s="74"/>
      <c r="U869" s="74"/>
      <c r="V869" s="74"/>
      <c r="W869" s="74"/>
      <c r="X869" s="74"/>
      <c r="Y869" s="74"/>
      <c r="Z869" s="74"/>
    </row>
    <row r="870">
      <c r="A870" s="74"/>
      <c r="B870" s="73"/>
      <c r="C870" s="73"/>
      <c r="D870" s="73"/>
      <c r="E870" s="73"/>
      <c r="F870" s="74"/>
      <c r="G870" s="74"/>
      <c r="H870" s="74"/>
      <c r="I870" s="74"/>
      <c r="J870" s="74"/>
      <c r="K870" s="74"/>
      <c r="L870" s="74"/>
      <c r="M870" s="74"/>
      <c r="N870" s="74"/>
      <c r="O870" s="74"/>
      <c r="P870" s="74"/>
      <c r="Q870" s="74"/>
      <c r="R870" s="74"/>
      <c r="S870" s="74"/>
      <c r="T870" s="74"/>
      <c r="U870" s="74"/>
      <c r="V870" s="74"/>
      <c r="W870" s="74"/>
      <c r="X870" s="74"/>
      <c r="Y870" s="74"/>
      <c r="Z870" s="74"/>
    </row>
    <row r="871">
      <c r="A871" s="74"/>
      <c r="B871" s="73"/>
      <c r="C871" s="73"/>
      <c r="D871" s="73"/>
      <c r="E871" s="73"/>
      <c r="F871" s="74"/>
      <c r="G871" s="74"/>
      <c r="H871" s="74"/>
      <c r="I871" s="74"/>
      <c r="J871" s="74"/>
      <c r="K871" s="74"/>
      <c r="L871" s="74"/>
      <c r="M871" s="74"/>
      <c r="N871" s="74"/>
      <c r="O871" s="74"/>
      <c r="P871" s="74"/>
      <c r="Q871" s="74"/>
      <c r="R871" s="74"/>
      <c r="S871" s="74"/>
      <c r="T871" s="74"/>
      <c r="U871" s="74"/>
      <c r="V871" s="74"/>
      <c r="W871" s="74"/>
      <c r="X871" s="74"/>
      <c r="Y871" s="74"/>
      <c r="Z871" s="74"/>
    </row>
    <row r="872">
      <c r="A872" s="74"/>
      <c r="B872" s="73"/>
      <c r="C872" s="73"/>
      <c r="D872" s="73"/>
      <c r="E872" s="73"/>
      <c r="F872" s="74"/>
      <c r="G872" s="74"/>
      <c r="H872" s="74"/>
      <c r="I872" s="74"/>
      <c r="J872" s="74"/>
      <c r="K872" s="74"/>
      <c r="L872" s="74"/>
      <c r="M872" s="74"/>
      <c r="N872" s="74"/>
      <c r="O872" s="74"/>
      <c r="P872" s="74"/>
      <c r="Q872" s="74"/>
      <c r="R872" s="74"/>
      <c r="S872" s="74"/>
      <c r="T872" s="74"/>
      <c r="U872" s="74"/>
      <c r="V872" s="74"/>
      <c r="W872" s="74"/>
      <c r="X872" s="74"/>
      <c r="Y872" s="74"/>
      <c r="Z872" s="74"/>
    </row>
    <row r="873">
      <c r="A873" s="74"/>
      <c r="B873" s="73"/>
      <c r="C873" s="73"/>
      <c r="D873" s="73"/>
      <c r="E873" s="73"/>
      <c r="F873" s="74"/>
      <c r="G873" s="74"/>
      <c r="H873" s="74"/>
      <c r="I873" s="74"/>
      <c r="J873" s="74"/>
      <c r="K873" s="74"/>
      <c r="L873" s="74"/>
      <c r="M873" s="74"/>
      <c r="N873" s="74"/>
      <c r="O873" s="74"/>
      <c r="P873" s="74"/>
      <c r="Q873" s="74"/>
      <c r="R873" s="74"/>
      <c r="S873" s="74"/>
      <c r="T873" s="74"/>
      <c r="U873" s="74"/>
      <c r="V873" s="74"/>
      <c r="W873" s="74"/>
      <c r="X873" s="74"/>
      <c r="Y873" s="74"/>
      <c r="Z873" s="74"/>
    </row>
    <row r="874">
      <c r="A874" s="74"/>
      <c r="B874" s="73"/>
      <c r="C874" s="73"/>
      <c r="D874" s="73"/>
      <c r="E874" s="73"/>
      <c r="F874" s="74"/>
      <c r="G874" s="74"/>
      <c r="H874" s="74"/>
      <c r="I874" s="74"/>
      <c r="J874" s="74"/>
      <c r="K874" s="74"/>
      <c r="L874" s="74"/>
      <c r="M874" s="74"/>
      <c r="N874" s="74"/>
      <c r="O874" s="74"/>
      <c r="P874" s="74"/>
      <c r="Q874" s="74"/>
      <c r="R874" s="74"/>
      <c r="S874" s="74"/>
      <c r="T874" s="74"/>
      <c r="U874" s="74"/>
      <c r="V874" s="74"/>
      <c r="W874" s="74"/>
      <c r="X874" s="74"/>
      <c r="Y874" s="74"/>
      <c r="Z874" s="74"/>
    </row>
    <row r="875">
      <c r="A875" s="74"/>
      <c r="B875" s="73"/>
      <c r="C875" s="73"/>
      <c r="D875" s="73"/>
      <c r="E875" s="73"/>
      <c r="F875" s="74"/>
      <c r="G875" s="74"/>
      <c r="H875" s="74"/>
      <c r="I875" s="74"/>
      <c r="J875" s="74"/>
      <c r="K875" s="74"/>
      <c r="L875" s="74"/>
      <c r="M875" s="74"/>
      <c r="N875" s="74"/>
      <c r="O875" s="74"/>
      <c r="P875" s="74"/>
      <c r="Q875" s="74"/>
      <c r="R875" s="74"/>
      <c r="S875" s="74"/>
      <c r="T875" s="74"/>
      <c r="U875" s="74"/>
      <c r="V875" s="74"/>
      <c r="W875" s="74"/>
      <c r="X875" s="74"/>
      <c r="Y875" s="74"/>
      <c r="Z875" s="74"/>
    </row>
    <row r="876">
      <c r="A876" s="74"/>
      <c r="B876" s="73"/>
      <c r="C876" s="73"/>
      <c r="D876" s="73"/>
      <c r="E876" s="73"/>
      <c r="F876" s="74"/>
      <c r="G876" s="74"/>
      <c r="H876" s="74"/>
      <c r="I876" s="74"/>
      <c r="J876" s="74"/>
      <c r="K876" s="74"/>
      <c r="L876" s="74"/>
      <c r="M876" s="74"/>
      <c r="N876" s="74"/>
      <c r="O876" s="74"/>
      <c r="P876" s="74"/>
      <c r="Q876" s="74"/>
      <c r="R876" s="74"/>
      <c r="S876" s="74"/>
      <c r="T876" s="74"/>
      <c r="U876" s="74"/>
      <c r="V876" s="74"/>
      <c r="W876" s="74"/>
      <c r="X876" s="74"/>
      <c r="Y876" s="74"/>
      <c r="Z876" s="74"/>
    </row>
    <row r="877">
      <c r="A877" s="74"/>
      <c r="B877" s="73"/>
      <c r="C877" s="73"/>
      <c r="D877" s="73"/>
      <c r="E877" s="73"/>
      <c r="F877" s="74"/>
      <c r="G877" s="74"/>
      <c r="H877" s="74"/>
      <c r="I877" s="74"/>
      <c r="J877" s="74"/>
      <c r="K877" s="74"/>
      <c r="L877" s="74"/>
      <c r="M877" s="74"/>
      <c r="N877" s="74"/>
      <c r="O877" s="74"/>
      <c r="P877" s="74"/>
      <c r="Q877" s="74"/>
      <c r="R877" s="74"/>
      <c r="S877" s="74"/>
      <c r="T877" s="74"/>
      <c r="U877" s="74"/>
      <c r="V877" s="74"/>
      <c r="W877" s="74"/>
      <c r="X877" s="74"/>
      <c r="Y877" s="74"/>
      <c r="Z877" s="74"/>
    </row>
    <row r="878">
      <c r="A878" s="74"/>
      <c r="B878" s="73"/>
      <c r="C878" s="73"/>
      <c r="D878" s="73"/>
      <c r="E878" s="73"/>
      <c r="F878" s="74"/>
      <c r="G878" s="74"/>
      <c r="H878" s="74"/>
      <c r="I878" s="74"/>
      <c r="J878" s="74"/>
      <c r="K878" s="74"/>
      <c r="L878" s="74"/>
      <c r="M878" s="74"/>
      <c r="N878" s="74"/>
      <c r="O878" s="74"/>
      <c r="P878" s="74"/>
      <c r="Q878" s="74"/>
      <c r="R878" s="74"/>
      <c r="S878" s="74"/>
      <c r="T878" s="74"/>
      <c r="U878" s="74"/>
      <c r="V878" s="74"/>
      <c r="W878" s="74"/>
      <c r="X878" s="74"/>
      <c r="Y878" s="74"/>
      <c r="Z878" s="74"/>
    </row>
    <row r="879">
      <c r="A879" s="74"/>
      <c r="B879" s="73"/>
      <c r="C879" s="73"/>
      <c r="D879" s="73"/>
      <c r="E879" s="73"/>
      <c r="F879" s="74"/>
      <c r="G879" s="74"/>
      <c r="H879" s="74"/>
      <c r="I879" s="74"/>
      <c r="J879" s="74"/>
      <c r="K879" s="74"/>
      <c r="L879" s="74"/>
      <c r="M879" s="74"/>
      <c r="N879" s="74"/>
      <c r="O879" s="74"/>
      <c r="P879" s="74"/>
      <c r="Q879" s="74"/>
      <c r="R879" s="74"/>
      <c r="S879" s="74"/>
      <c r="T879" s="74"/>
      <c r="U879" s="74"/>
      <c r="V879" s="74"/>
      <c r="W879" s="74"/>
      <c r="X879" s="74"/>
      <c r="Y879" s="74"/>
      <c r="Z879" s="74"/>
    </row>
    <row r="880">
      <c r="A880" s="74"/>
      <c r="B880" s="73"/>
      <c r="C880" s="73"/>
      <c r="D880" s="73"/>
      <c r="E880" s="73"/>
      <c r="F880" s="74"/>
      <c r="G880" s="74"/>
      <c r="H880" s="74"/>
      <c r="I880" s="74"/>
      <c r="J880" s="74"/>
      <c r="K880" s="74"/>
      <c r="L880" s="74"/>
      <c r="M880" s="74"/>
      <c r="N880" s="74"/>
      <c r="O880" s="74"/>
      <c r="P880" s="74"/>
      <c r="Q880" s="74"/>
      <c r="R880" s="74"/>
      <c r="S880" s="74"/>
      <c r="T880" s="74"/>
      <c r="U880" s="74"/>
      <c r="V880" s="74"/>
      <c r="W880" s="74"/>
      <c r="X880" s="74"/>
      <c r="Y880" s="74"/>
      <c r="Z880" s="74"/>
    </row>
    <row r="881">
      <c r="A881" s="74"/>
      <c r="B881" s="73"/>
      <c r="C881" s="73"/>
      <c r="D881" s="73"/>
      <c r="E881" s="73"/>
      <c r="F881" s="74"/>
      <c r="G881" s="74"/>
      <c r="H881" s="74"/>
      <c r="I881" s="74"/>
      <c r="J881" s="74"/>
      <c r="K881" s="74"/>
      <c r="L881" s="74"/>
      <c r="M881" s="74"/>
      <c r="N881" s="74"/>
      <c r="O881" s="74"/>
      <c r="P881" s="74"/>
      <c r="Q881" s="74"/>
      <c r="R881" s="74"/>
      <c r="S881" s="74"/>
      <c r="T881" s="74"/>
      <c r="U881" s="74"/>
      <c r="V881" s="74"/>
      <c r="W881" s="74"/>
      <c r="X881" s="74"/>
      <c r="Y881" s="74"/>
      <c r="Z881" s="74"/>
    </row>
    <row r="882">
      <c r="A882" s="74"/>
      <c r="B882" s="73"/>
      <c r="C882" s="73"/>
      <c r="D882" s="73"/>
      <c r="E882" s="73"/>
      <c r="F882" s="74"/>
      <c r="G882" s="74"/>
      <c r="H882" s="74"/>
      <c r="I882" s="74"/>
      <c r="J882" s="74"/>
      <c r="K882" s="74"/>
      <c r="L882" s="74"/>
      <c r="M882" s="74"/>
      <c r="N882" s="74"/>
      <c r="O882" s="74"/>
      <c r="P882" s="74"/>
      <c r="Q882" s="74"/>
      <c r="R882" s="74"/>
      <c r="S882" s="74"/>
      <c r="T882" s="74"/>
      <c r="U882" s="74"/>
      <c r="V882" s="74"/>
      <c r="W882" s="74"/>
      <c r="X882" s="74"/>
      <c r="Y882" s="74"/>
      <c r="Z882" s="74"/>
    </row>
    <row r="883">
      <c r="A883" s="74"/>
      <c r="B883" s="73"/>
      <c r="C883" s="73"/>
      <c r="D883" s="73"/>
      <c r="E883" s="73"/>
      <c r="F883" s="74"/>
      <c r="G883" s="74"/>
      <c r="H883" s="74"/>
      <c r="I883" s="74"/>
      <c r="J883" s="74"/>
      <c r="K883" s="74"/>
      <c r="L883" s="74"/>
      <c r="M883" s="74"/>
      <c r="N883" s="74"/>
      <c r="O883" s="74"/>
      <c r="P883" s="74"/>
      <c r="Q883" s="74"/>
      <c r="R883" s="74"/>
      <c r="S883" s="74"/>
      <c r="T883" s="74"/>
      <c r="U883" s="74"/>
      <c r="V883" s="74"/>
      <c r="W883" s="74"/>
      <c r="X883" s="74"/>
      <c r="Y883" s="74"/>
      <c r="Z883" s="74"/>
    </row>
    <row r="884">
      <c r="A884" s="74"/>
      <c r="B884" s="73"/>
      <c r="C884" s="73"/>
      <c r="D884" s="73"/>
      <c r="E884" s="73"/>
      <c r="F884" s="74"/>
      <c r="G884" s="74"/>
      <c r="H884" s="74"/>
      <c r="I884" s="74"/>
      <c r="J884" s="74"/>
      <c r="K884" s="74"/>
      <c r="L884" s="74"/>
      <c r="M884" s="74"/>
      <c r="N884" s="74"/>
      <c r="O884" s="74"/>
      <c r="P884" s="74"/>
      <c r="Q884" s="74"/>
      <c r="R884" s="74"/>
      <c r="S884" s="74"/>
      <c r="T884" s="74"/>
      <c r="U884" s="74"/>
      <c r="V884" s="74"/>
      <c r="W884" s="74"/>
      <c r="X884" s="74"/>
      <c r="Y884" s="74"/>
      <c r="Z884" s="74"/>
    </row>
    <row r="885">
      <c r="A885" s="74"/>
      <c r="B885" s="73"/>
      <c r="C885" s="73"/>
      <c r="D885" s="73"/>
      <c r="E885" s="73"/>
      <c r="F885" s="74"/>
      <c r="G885" s="74"/>
      <c r="H885" s="74"/>
      <c r="I885" s="74"/>
      <c r="J885" s="74"/>
      <c r="K885" s="74"/>
      <c r="L885" s="74"/>
      <c r="M885" s="74"/>
      <c r="N885" s="74"/>
      <c r="O885" s="74"/>
      <c r="P885" s="74"/>
      <c r="Q885" s="74"/>
      <c r="R885" s="74"/>
      <c r="S885" s="74"/>
      <c r="T885" s="74"/>
      <c r="U885" s="74"/>
      <c r="V885" s="74"/>
      <c r="W885" s="74"/>
      <c r="X885" s="74"/>
      <c r="Y885" s="74"/>
      <c r="Z885" s="74"/>
    </row>
    <row r="886">
      <c r="A886" s="74"/>
      <c r="B886" s="73"/>
      <c r="C886" s="73"/>
      <c r="D886" s="73"/>
      <c r="E886" s="73"/>
      <c r="F886" s="74"/>
      <c r="G886" s="74"/>
      <c r="H886" s="74"/>
      <c r="I886" s="74"/>
      <c r="J886" s="74"/>
      <c r="K886" s="74"/>
      <c r="L886" s="74"/>
      <c r="M886" s="74"/>
      <c r="N886" s="74"/>
      <c r="O886" s="74"/>
      <c r="P886" s="74"/>
      <c r="Q886" s="74"/>
      <c r="R886" s="74"/>
      <c r="S886" s="74"/>
      <c r="T886" s="74"/>
      <c r="U886" s="74"/>
      <c r="V886" s="74"/>
      <c r="W886" s="74"/>
      <c r="X886" s="74"/>
      <c r="Y886" s="74"/>
      <c r="Z886" s="74"/>
    </row>
    <row r="887">
      <c r="A887" s="74"/>
      <c r="B887" s="73"/>
      <c r="C887" s="73"/>
      <c r="D887" s="73"/>
      <c r="E887" s="73"/>
      <c r="F887" s="74"/>
      <c r="G887" s="74"/>
      <c r="H887" s="74"/>
      <c r="I887" s="74"/>
      <c r="J887" s="74"/>
      <c r="K887" s="74"/>
      <c r="L887" s="74"/>
      <c r="M887" s="74"/>
      <c r="N887" s="74"/>
      <c r="O887" s="74"/>
      <c r="P887" s="74"/>
      <c r="Q887" s="74"/>
      <c r="R887" s="74"/>
      <c r="S887" s="74"/>
      <c r="T887" s="74"/>
      <c r="U887" s="74"/>
      <c r="V887" s="74"/>
      <c r="W887" s="74"/>
      <c r="X887" s="74"/>
      <c r="Y887" s="74"/>
      <c r="Z887" s="74"/>
    </row>
    <row r="888">
      <c r="A888" s="74"/>
      <c r="B888" s="73"/>
      <c r="C888" s="73"/>
      <c r="D888" s="73"/>
      <c r="E888" s="73"/>
      <c r="F888" s="74"/>
      <c r="G888" s="74"/>
      <c r="H888" s="74"/>
      <c r="I888" s="74"/>
      <c r="J888" s="74"/>
      <c r="K888" s="74"/>
      <c r="L888" s="74"/>
      <c r="M888" s="74"/>
      <c r="N888" s="74"/>
      <c r="O888" s="74"/>
      <c r="P888" s="74"/>
      <c r="Q888" s="74"/>
      <c r="R888" s="74"/>
      <c r="S888" s="74"/>
      <c r="T888" s="74"/>
      <c r="U888" s="74"/>
      <c r="V888" s="74"/>
      <c r="W888" s="74"/>
      <c r="X888" s="74"/>
      <c r="Y888" s="74"/>
      <c r="Z888" s="74"/>
    </row>
    <row r="889">
      <c r="A889" s="74"/>
      <c r="B889" s="73"/>
      <c r="C889" s="73"/>
      <c r="D889" s="73"/>
      <c r="E889" s="73"/>
      <c r="F889" s="74"/>
      <c r="G889" s="74"/>
      <c r="H889" s="74"/>
      <c r="I889" s="74"/>
      <c r="J889" s="74"/>
      <c r="K889" s="74"/>
      <c r="L889" s="74"/>
      <c r="M889" s="74"/>
      <c r="N889" s="74"/>
      <c r="O889" s="74"/>
      <c r="P889" s="74"/>
      <c r="Q889" s="74"/>
      <c r="R889" s="74"/>
      <c r="S889" s="74"/>
      <c r="T889" s="74"/>
      <c r="U889" s="74"/>
      <c r="V889" s="74"/>
      <c r="W889" s="74"/>
      <c r="X889" s="74"/>
      <c r="Y889" s="74"/>
      <c r="Z889" s="74"/>
    </row>
    <row r="890">
      <c r="A890" s="74"/>
      <c r="B890" s="73"/>
      <c r="C890" s="73"/>
      <c r="D890" s="73"/>
      <c r="E890" s="73"/>
      <c r="F890" s="74"/>
      <c r="G890" s="74"/>
      <c r="H890" s="74"/>
      <c r="I890" s="74"/>
      <c r="J890" s="74"/>
      <c r="K890" s="74"/>
      <c r="L890" s="74"/>
      <c r="M890" s="74"/>
      <c r="N890" s="74"/>
      <c r="O890" s="74"/>
      <c r="P890" s="74"/>
      <c r="Q890" s="74"/>
      <c r="R890" s="74"/>
      <c r="S890" s="74"/>
      <c r="T890" s="74"/>
      <c r="U890" s="74"/>
      <c r="V890" s="74"/>
      <c r="W890" s="74"/>
      <c r="X890" s="74"/>
      <c r="Y890" s="74"/>
      <c r="Z890" s="74"/>
    </row>
    <row r="891">
      <c r="A891" s="74"/>
      <c r="B891" s="73"/>
      <c r="C891" s="73"/>
      <c r="D891" s="73"/>
      <c r="E891" s="73"/>
      <c r="F891" s="74"/>
      <c r="G891" s="74"/>
      <c r="H891" s="74"/>
      <c r="I891" s="74"/>
      <c r="J891" s="74"/>
      <c r="K891" s="74"/>
      <c r="L891" s="74"/>
      <c r="M891" s="74"/>
      <c r="N891" s="74"/>
      <c r="O891" s="74"/>
      <c r="P891" s="74"/>
      <c r="Q891" s="74"/>
      <c r="R891" s="74"/>
      <c r="S891" s="74"/>
      <c r="T891" s="74"/>
      <c r="U891" s="74"/>
      <c r="V891" s="74"/>
      <c r="W891" s="74"/>
      <c r="X891" s="74"/>
      <c r="Y891" s="74"/>
      <c r="Z891" s="74"/>
    </row>
    <row r="892">
      <c r="A892" s="74"/>
      <c r="B892" s="73"/>
      <c r="C892" s="73"/>
      <c r="D892" s="73"/>
      <c r="E892" s="73"/>
      <c r="F892" s="74"/>
      <c r="G892" s="74"/>
      <c r="H892" s="74"/>
      <c r="I892" s="74"/>
      <c r="J892" s="74"/>
      <c r="K892" s="74"/>
      <c r="L892" s="74"/>
      <c r="M892" s="74"/>
      <c r="N892" s="74"/>
      <c r="O892" s="74"/>
      <c r="P892" s="74"/>
      <c r="Q892" s="74"/>
      <c r="R892" s="74"/>
      <c r="S892" s="74"/>
      <c r="T892" s="74"/>
      <c r="U892" s="74"/>
      <c r="V892" s="74"/>
      <c r="W892" s="74"/>
      <c r="X892" s="74"/>
      <c r="Y892" s="74"/>
      <c r="Z892" s="74"/>
    </row>
    <row r="893">
      <c r="A893" s="74"/>
      <c r="B893" s="73"/>
      <c r="C893" s="73"/>
      <c r="D893" s="73"/>
      <c r="E893" s="73"/>
      <c r="F893" s="74"/>
      <c r="G893" s="74"/>
      <c r="H893" s="74"/>
      <c r="I893" s="74"/>
      <c r="J893" s="74"/>
      <c r="K893" s="74"/>
      <c r="L893" s="74"/>
      <c r="M893" s="74"/>
      <c r="N893" s="74"/>
      <c r="O893" s="74"/>
      <c r="P893" s="74"/>
      <c r="Q893" s="74"/>
      <c r="R893" s="74"/>
      <c r="S893" s="74"/>
      <c r="T893" s="74"/>
      <c r="U893" s="74"/>
      <c r="V893" s="74"/>
      <c r="W893" s="74"/>
      <c r="X893" s="74"/>
      <c r="Y893" s="74"/>
      <c r="Z893" s="74"/>
    </row>
    <row r="894">
      <c r="A894" s="74"/>
      <c r="B894" s="73"/>
      <c r="C894" s="73"/>
      <c r="D894" s="73"/>
      <c r="E894" s="73"/>
      <c r="F894" s="74"/>
      <c r="G894" s="74"/>
      <c r="H894" s="74"/>
      <c r="I894" s="74"/>
      <c r="J894" s="74"/>
      <c r="K894" s="74"/>
      <c r="L894" s="74"/>
      <c r="M894" s="74"/>
      <c r="N894" s="74"/>
      <c r="O894" s="74"/>
      <c r="P894" s="74"/>
      <c r="Q894" s="74"/>
      <c r="R894" s="74"/>
      <c r="S894" s="74"/>
      <c r="T894" s="74"/>
      <c r="U894" s="74"/>
      <c r="V894" s="74"/>
      <c r="W894" s="74"/>
      <c r="X894" s="74"/>
      <c r="Y894" s="74"/>
      <c r="Z894" s="74"/>
    </row>
    <row r="895">
      <c r="A895" s="74"/>
      <c r="B895" s="73"/>
      <c r="C895" s="73"/>
      <c r="D895" s="73"/>
      <c r="E895" s="73"/>
      <c r="F895" s="74"/>
      <c r="G895" s="74"/>
      <c r="H895" s="74"/>
      <c r="I895" s="74"/>
      <c r="J895" s="74"/>
      <c r="K895" s="74"/>
      <c r="L895" s="74"/>
      <c r="M895" s="74"/>
      <c r="N895" s="74"/>
      <c r="O895" s="74"/>
      <c r="P895" s="74"/>
      <c r="Q895" s="74"/>
      <c r="R895" s="74"/>
      <c r="S895" s="74"/>
      <c r="T895" s="74"/>
      <c r="U895" s="74"/>
      <c r="V895" s="74"/>
      <c r="W895" s="74"/>
      <c r="X895" s="74"/>
      <c r="Y895" s="74"/>
      <c r="Z895" s="74"/>
    </row>
    <row r="896">
      <c r="A896" s="74"/>
      <c r="B896" s="73"/>
      <c r="C896" s="73"/>
      <c r="D896" s="73"/>
      <c r="E896" s="73"/>
      <c r="F896" s="74"/>
      <c r="G896" s="74"/>
      <c r="H896" s="74"/>
      <c r="I896" s="74"/>
      <c r="J896" s="74"/>
      <c r="K896" s="74"/>
      <c r="L896" s="74"/>
      <c r="M896" s="74"/>
      <c r="N896" s="74"/>
      <c r="O896" s="74"/>
      <c r="P896" s="74"/>
      <c r="Q896" s="74"/>
      <c r="R896" s="74"/>
      <c r="S896" s="74"/>
      <c r="T896" s="74"/>
      <c r="U896" s="74"/>
      <c r="V896" s="74"/>
      <c r="W896" s="74"/>
      <c r="X896" s="74"/>
      <c r="Y896" s="74"/>
      <c r="Z896" s="74"/>
    </row>
    <row r="897">
      <c r="A897" s="74"/>
      <c r="B897" s="73"/>
      <c r="C897" s="73"/>
      <c r="D897" s="73"/>
      <c r="E897" s="73"/>
      <c r="F897" s="74"/>
      <c r="G897" s="74"/>
      <c r="H897" s="74"/>
      <c r="I897" s="74"/>
      <c r="J897" s="74"/>
      <c r="K897" s="74"/>
      <c r="L897" s="74"/>
      <c r="M897" s="74"/>
      <c r="N897" s="74"/>
      <c r="O897" s="74"/>
      <c r="P897" s="74"/>
      <c r="Q897" s="74"/>
      <c r="R897" s="74"/>
      <c r="S897" s="74"/>
      <c r="T897" s="74"/>
      <c r="U897" s="74"/>
      <c r="V897" s="74"/>
      <c r="W897" s="74"/>
      <c r="X897" s="74"/>
      <c r="Y897" s="74"/>
      <c r="Z897" s="74"/>
    </row>
    <row r="898">
      <c r="A898" s="74"/>
      <c r="B898" s="73"/>
      <c r="C898" s="73"/>
      <c r="D898" s="73"/>
      <c r="E898" s="73"/>
      <c r="F898" s="74"/>
      <c r="G898" s="74"/>
      <c r="H898" s="74"/>
      <c r="I898" s="74"/>
      <c r="J898" s="74"/>
      <c r="K898" s="74"/>
      <c r="L898" s="74"/>
      <c r="M898" s="74"/>
      <c r="N898" s="74"/>
      <c r="O898" s="74"/>
      <c r="P898" s="74"/>
      <c r="Q898" s="74"/>
      <c r="R898" s="74"/>
      <c r="S898" s="74"/>
      <c r="T898" s="74"/>
      <c r="U898" s="74"/>
      <c r="V898" s="74"/>
      <c r="W898" s="74"/>
      <c r="X898" s="74"/>
      <c r="Y898" s="74"/>
      <c r="Z898" s="74"/>
    </row>
    <row r="899">
      <c r="A899" s="74"/>
      <c r="B899" s="73"/>
      <c r="C899" s="73"/>
      <c r="D899" s="73"/>
      <c r="E899" s="73"/>
      <c r="F899" s="74"/>
      <c r="G899" s="74"/>
      <c r="H899" s="74"/>
      <c r="I899" s="74"/>
      <c r="J899" s="74"/>
      <c r="K899" s="74"/>
      <c r="L899" s="74"/>
      <c r="M899" s="74"/>
      <c r="N899" s="74"/>
      <c r="O899" s="74"/>
      <c r="P899" s="74"/>
      <c r="Q899" s="74"/>
      <c r="R899" s="74"/>
      <c r="S899" s="74"/>
      <c r="T899" s="74"/>
      <c r="U899" s="74"/>
      <c r="V899" s="74"/>
      <c r="W899" s="74"/>
      <c r="X899" s="74"/>
      <c r="Y899" s="74"/>
      <c r="Z899" s="74"/>
    </row>
    <row r="900">
      <c r="A900" s="74"/>
      <c r="B900" s="73"/>
      <c r="C900" s="73"/>
      <c r="D900" s="73"/>
      <c r="E900" s="73"/>
      <c r="F900" s="74"/>
      <c r="G900" s="74"/>
      <c r="H900" s="74"/>
      <c r="I900" s="74"/>
      <c r="J900" s="74"/>
      <c r="K900" s="74"/>
      <c r="L900" s="74"/>
      <c r="M900" s="74"/>
      <c r="N900" s="74"/>
      <c r="O900" s="74"/>
      <c r="P900" s="74"/>
      <c r="Q900" s="74"/>
      <c r="R900" s="74"/>
      <c r="S900" s="74"/>
      <c r="T900" s="74"/>
      <c r="U900" s="74"/>
      <c r="V900" s="74"/>
      <c r="W900" s="74"/>
      <c r="X900" s="74"/>
      <c r="Y900" s="74"/>
      <c r="Z900" s="74"/>
    </row>
    <row r="901">
      <c r="A901" s="74"/>
      <c r="B901" s="73"/>
      <c r="C901" s="73"/>
      <c r="D901" s="73"/>
      <c r="E901" s="73"/>
      <c r="F901" s="74"/>
      <c r="G901" s="74"/>
      <c r="H901" s="74"/>
      <c r="I901" s="74"/>
      <c r="J901" s="74"/>
      <c r="K901" s="74"/>
      <c r="L901" s="74"/>
      <c r="M901" s="74"/>
      <c r="N901" s="74"/>
      <c r="O901" s="74"/>
      <c r="P901" s="74"/>
      <c r="Q901" s="74"/>
      <c r="R901" s="74"/>
      <c r="S901" s="74"/>
      <c r="T901" s="74"/>
      <c r="U901" s="74"/>
      <c r="V901" s="74"/>
      <c r="W901" s="74"/>
      <c r="X901" s="74"/>
      <c r="Y901" s="74"/>
      <c r="Z901" s="74"/>
    </row>
    <row r="902">
      <c r="A902" s="74"/>
      <c r="B902" s="73"/>
      <c r="C902" s="73"/>
      <c r="D902" s="73"/>
      <c r="E902" s="73"/>
      <c r="F902" s="74"/>
      <c r="G902" s="74"/>
      <c r="H902" s="74"/>
      <c r="I902" s="74"/>
      <c r="J902" s="74"/>
      <c r="K902" s="74"/>
      <c r="L902" s="74"/>
      <c r="M902" s="74"/>
      <c r="N902" s="74"/>
      <c r="O902" s="74"/>
      <c r="P902" s="74"/>
      <c r="Q902" s="74"/>
      <c r="R902" s="74"/>
      <c r="S902" s="74"/>
      <c r="T902" s="74"/>
      <c r="U902" s="74"/>
      <c r="V902" s="74"/>
      <c r="W902" s="74"/>
      <c r="X902" s="74"/>
      <c r="Y902" s="74"/>
      <c r="Z902" s="74"/>
    </row>
    <row r="903">
      <c r="A903" s="74"/>
      <c r="B903" s="73"/>
      <c r="C903" s="73"/>
      <c r="D903" s="73"/>
      <c r="E903" s="73"/>
      <c r="F903" s="74"/>
      <c r="G903" s="74"/>
      <c r="H903" s="74"/>
      <c r="I903" s="74"/>
      <c r="J903" s="74"/>
      <c r="K903" s="74"/>
      <c r="L903" s="74"/>
      <c r="M903" s="74"/>
      <c r="N903" s="74"/>
      <c r="O903" s="74"/>
      <c r="P903" s="74"/>
      <c r="Q903" s="74"/>
      <c r="R903" s="74"/>
      <c r="S903" s="74"/>
      <c r="T903" s="74"/>
      <c r="U903" s="74"/>
      <c r="V903" s="74"/>
      <c r="W903" s="74"/>
      <c r="X903" s="74"/>
      <c r="Y903" s="74"/>
      <c r="Z903" s="74"/>
    </row>
    <row r="904">
      <c r="A904" s="74"/>
      <c r="B904" s="73"/>
      <c r="C904" s="73"/>
      <c r="D904" s="73"/>
      <c r="E904" s="73"/>
      <c r="F904" s="74"/>
      <c r="G904" s="74"/>
      <c r="H904" s="74"/>
      <c r="I904" s="74"/>
      <c r="J904" s="74"/>
      <c r="K904" s="74"/>
      <c r="L904" s="74"/>
      <c r="M904" s="74"/>
      <c r="N904" s="74"/>
      <c r="O904" s="74"/>
      <c r="P904" s="74"/>
      <c r="Q904" s="74"/>
      <c r="R904" s="74"/>
      <c r="S904" s="74"/>
      <c r="T904" s="74"/>
      <c r="U904" s="74"/>
      <c r="V904" s="74"/>
      <c r="W904" s="74"/>
      <c r="X904" s="74"/>
      <c r="Y904" s="74"/>
      <c r="Z904" s="74"/>
    </row>
    <row r="905">
      <c r="A905" s="74"/>
      <c r="B905" s="73"/>
      <c r="C905" s="73"/>
      <c r="D905" s="73"/>
      <c r="E905" s="73"/>
      <c r="F905" s="74"/>
      <c r="G905" s="74"/>
      <c r="H905" s="74"/>
      <c r="I905" s="74"/>
      <c r="J905" s="74"/>
      <c r="K905" s="74"/>
      <c r="L905" s="74"/>
      <c r="M905" s="74"/>
      <c r="N905" s="74"/>
      <c r="O905" s="74"/>
      <c r="P905" s="74"/>
      <c r="Q905" s="74"/>
      <c r="R905" s="74"/>
      <c r="S905" s="74"/>
      <c r="T905" s="74"/>
      <c r="U905" s="74"/>
      <c r="V905" s="74"/>
      <c r="W905" s="74"/>
      <c r="X905" s="74"/>
      <c r="Y905" s="74"/>
      <c r="Z905" s="74"/>
    </row>
    <row r="906">
      <c r="A906" s="74"/>
      <c r="B906" s="73"/>
      <c r="C906" s="73"/>
      <c r="D906" s="73"/>
      <c r="E906" s="73"/>
      <c r="F906" s="74"/>
      <c r="G906" s="74"/>
      <c r="H906" s="74"/>
      <c r="I906" s="74"/>
      <c r="J906" s="74"/>
      <c r="K906" s="74"/>
      <c r="L906" s="74"/>
      <c r="M906" s="74"/>
      <c r="N906" s="74"/>
      <c r="O906" s="74"/>
      <c r="P906" s="74"/>
      <c r="Q906" s="74"/>
      <c r="R906" s="74"/>
      <c r="S906" s="74"/>
      <c r="T906" s="74"/>
      <c r="U906" s="74"/>
      <c r="V906" s="74"/>
      <c r="W906" s="74"/>
      <c r="X906" s="74"/>
      <c r="Y906" s="74"/>
      <c r="Z906" s="74"/>
    </row>
    <row r="907">
      <c r="A907" s="74"/>
      <c r="B907" s="73"/>
      <c r="C907" s="73"/>
      <c r="D907" s="73"/>
      <c r="E907" s="73"/>
      <c r="F907" s="74"/>
      <c r="G907" s="74"/>
      <c r="H907" s="74"/>
      <c r="I907" s="74"/>
      <c r="J907" s="74"/>
      <c r="K907" s="74"/>
      <c r="L907" s="74"/>
      <c r="M907" s="74"/>
      <c r="N907" s="74"/>
      <c r="O907" s="74"/>
      <c r="P907" s="74"/>
      <c r="Q907" s="74"/>
      <c r="R907" s="74"/>
      <c r="S907" s="74"/>
      <c r="T907" s="74"/>
      <c r="U907" s="74"/>
      <c r="V907" s="74"/>
      <c r="W907" s="74"/>
      <c r="X907" s="74"/>
      <c r="Y907" s="74"/>
      <c r="Z907" s="74"/>
    </row>
    <row r="908">
      <c r="A908" s="74"/>
      <c r="B908" s="73"/>
      <c r="C908" s="73"/>
      <c r="D908" s="73"/>
      <c r="E908" s="73"/>
      <c r="F908" s="74"/>
      <c r="G908" s="74"/>
      <c r="H908" s="74"/>
      <c r="I908" s="74"/>
      <c r="J908" s="74"/>
      <c r="K908" s="74"/>
      <c r="L908" s="74"/>
      <c r="M908" s="74"/>
      <c r="N908" s="74"/>
      <c r="O908" s="74"/>
      <c r="P908" s="74"/>
      <c r="Q908" s="74"/>
      <c r="R908" s="74"/>
      <c r="S908" s="74"/>
      <c r="T908" s="74"/>
      <c r="U908" s="74"/>
      <c r="V908" s="74"/>
      <c r="W908" s="74"/>
      <c r="X908" s="74"/>
      <c r="Y908" s="74"/>
      <c r="Z908" s="74"/>
    </row>
    <row r="909">
      <c r="A909" s="74"/>
      <c r="B909" s="73"/>
      <c r="C909" s="73"/>
      <c r="D909" s="73"/>
      <c r="E909" s="73"/>
      <c r="F909" s="74"/>
      <c r="G909" s="74"/>
      <c r="H909" s="74"/>
      <c r="I909" s="74"/>
      <c r="J909" s="74"/>
      <c r="K909" s="74"/>
      <c r="L909" s="74"/>
      <c r="M909" s="74"/>
      <c r="N909" s="74"/>
      <c r="O909" s="74"/>
      <c r="P909" s="74"/>
      <c r="Q909" s="74"/>
      <c r="R909" s="74"/>
      <c r="S909" s="74"/>
      <c r="T909" s="74"/>
      <c r="U909" s="74"/>
      <c r="V909" s="74"/>
      <c r="W909" s="74"/>
      <c r="X909" s="74"/>
      <c r="Y909" s="74"/>
      <c r="Z909" s="74"/>
    </row>
    <row r="910">
      <c r="A910" s="74"/>
      <c r="B910" s="73"/>
      <c r="C910" s="73"/>
      <c r="D910" s="73"/>
      <c r="E910" s="73"/>
      <c r="F910" s="74"/>
      <c r="G910" s="74"/>
      <c r="H910" s="74"/>
      <c r="I910" s="74"/>
      <c r="J910" s="74"/>
      <c r="K910" s="74"/>
      <c r="L910" s="74"/>
      <c r="M910" s="74"/>
      <c r="N910" s="74"/>
      <c r="O910" s="74"/>
      <c r="P910" s="74"/>
      <c r="Q910" s="74"/>
      <c r="R910" s="74"/>
      <c r="S910" s="74"/>
      <c r="T910" s="74"/>
      <c r="U910" s="74"/>
      <c r="V910" s="74"/>
      <c r="W910" s="74"/>
      <c r="X910" s="74"/>
      <c r="Y910" s="74"/>
      <c r="Z910" s="74"/>
    </row>
    <row r="911">
      <c r="A911" s="74"/>
      <c r="B911" s="73"/>
      <c r="C911" s="73"/>
      <c r="D911" s="73"/>
      <c r="E911" s="73"/>
      <c r="F911" s="74"/>
      <c r="G911" s="74"/>
      <c r="H911" s="74"/>
      <c r="I911" s="74"/>
      <c r="J911" s="74"/>
      <c r="K911" s="74"/>
      <c r="L911" s="74"/>
      <c r="M911" s="74"/>
      <c r="N911" s="74"/>
      <c r="O911" s="74"/>
      <c r="P911" s="74"/>
      <c r="Q911" s="74"/>
      <c r="R911" s="74"/>
      <c r="S911" s="74"/>
      <c r="T911" s="74"/>
      <c r="U911" s="74"/>
      <c r="V911" s="74"/>
      <c r="W911" s="74"/>
      <c r="X911" s="74"/>
      <c r="Y911" s="74"/>
      <c r="Z911" s="74"/>
    </row>
    <row r="912">
      <c r="A912" s="74"/>
      <c r="B912" s="73"/>
      <c r="C912" s="73"/>
      <c r="D912" s="73"/>
      <c r="E912" s="73"/>
      <c r="F912" s="74"/>
      <c r="G912" s="74"/>
      <c r="H912" s="74"/>
      <c r="I912" s="74"/>
      <c r="J912" s="74"/>
      <c r="K912" s="74"/>
      <c r="L912" s="74"/>
      <c r="M912" s="74"/>
      <c r="N912" s="74"/>
      <c r="O912" s="74"/>
      <c r="P912" s="74"/>
      <c r="Q912" s="74"/>
      <c r="R912" s="74"/>
      <c r="S912" s="74"/>
      <c r="T912" s="74"/>
      <c r="U912" s="74"/>
      <c r="V912" s="74"/>
      <c r="W912" s="74"/>
      <c r="X912" s="74"/>
      <c r="Y912" s="74"/>
      <c r="Z912" s="74"/>
    </row>
    <row r="913">
      <c r="A913" s="74"/>
      <c r="B913" s="73"/>
      <c r="C913" s="73"/>
      <c r="D913" s="73"/>
      <c r="E913" s="73"/>
      <c r="F913" s="74"/>
      <c r="G913" s="74"/>
      <c r="H913" s="74"/>
      <c r="I913" s="74"/>
      <c r="J913" s="74"/>
      <c r="K913" s="74"/>
      <c r="L913" s="74"/>
      <c r="M913" s="74"/>
      <c r="N913" s="74"/>
      <c r="O913" s="74"/>
      <c r="P913" s="74"/>
      <c r="Q913" s="74"/>
      <c r="R913" s="74"/>
      <c r="S913" s="74"/>
      <c r="T913" s="74"/>
      <c r="U913" s="74"/>
      <c r="V913" s="74"/>
      <c r="W913" s="74"/>
      <c r="X913" s="74"/>
      <c r="Y913" s="74"/>
      <c r="Z913" s="74"/>
    </row>
    <row r="914">
      <c r="A914" s="74"/>
      <c r="B914" s="73"/>
      <c r="C914" s="73"/>
      <c r="D914" s="73"/>
      <c r="E914" s="73"/>
      <c r="F914" s="74"/>
      <c r="G914" s="74"/>
      <c r="H914" s="74"/>
      <c r="I914" s="74"/>
      <c r="J914" s="74"/>
      <c r="K914" s="74"/>
      <c r="L914" s="74"/>
      <c r="M914" s="74"/>
      <c r="N914" s="74"/>
      <c r="O914" s="74"/>
      <c r="P914" s="74"/>
      <c r="Q914" s="74"/>
      <c r="R914" s="74"/>
      <c r="S914" s="74"/>
      <c r="T914" s="74"/>
      <c r="U914" s="74"/>
      <c r="V914" s="74"/>
      <c r="W914" s="74"/>
      <c r="X914" s="74"/>
      <c r="Y914" s="74"/>
      <c r="Z914" s="74"/>
    </row>
    <row r="915">
      <c r="A915" s="74"/>
      <c r="B915" s="73"/>
      <c r="C915" s="73"/>
      <c r="D915" s="73"/>
      <c r="E915" s="73"/>
      <c r="F915" s="74"/>
      <c r="G915" s="74"/>
      <c r="H915" s="74"/>
      <c r="I915" s="74"/>
      <c r="J915" s="74"/>
      <c r="K915" s="74"/>
      <c r="L915" s="74"/>
      <c r="M915" s="74"/>
      <c r="N915" s="74"/>
      <c r="O915" s="74"/>
      <c r="P915" s="74"/>
      <c r="Q915" s="74"/>
      <c r="R915" s="74"/>
      <c r="S915" s="74"/>
      <c r="T915" s="74"/>
      <c r="U915" s="74"/>
      <c r="V915" s="74"/>
      <c r="W915" s="74"/>
      <c r="X915" s="74"/>
      <c r="Y915" s="74"/>
      <c r="Z915" s="74"/>
    </row>
    <row r="916">
      <c r="A916" s="74"/>
      <c r="B916" s="73"/>
      <c r="C916" s="73"/>
      <c r="D916" s="73"/>
      <c r="E916" s="73"/>
      <c r="F916" s="74"/>
      <c r="G916" s="74"/>
      <c r="H916" s="74"/>
      <c r="I916" s="74"/>
      <c r="J916" s="74"/>
      <c r="K916" s="74"/>
      <c r="L916" s="74"/>
      <c r="M916" s="74"/>
      <c r="N916" s="74"/>
      <c r="O916" s="74"/>
      <c r="P916" s="74"/>
      <c r="Q916" s="74"/>
      <c r="R916" s="74"/>
      <c r="S916" s="74"/>
      <c r="T916" s="74"/>
      <c r="U916" s="74"/>
      <c r="V916" s="74"/>
      <c r="W916" s="74"/>
      <c r="X916" s="74"/>
      <c r="Y916" s="74"/>
      <c r="Z916" s="74"/>
    </row>
    <row r="917">
      <c r="A917" s="74"/>
      <c r="B917" s="73"/>
      <c r="C917" s="73"/>
      <c r="D917" s="73"/>
      <c r="E917" s="73"/>
      <c r="F917" s="74"/>
      <c r="G917" s="74"/>
      <c r="H917" s="74"/>
      <c r="I917" s="74"/>
      <c r="J917" s="74"/>
      <c r="K917" s="74"/>
      <c r="L917" s="74"/>
      <c r="M917" s="74"/>
      <c r="N917" s="74"/>
      <c r="O917" s="74"/>
      <c r="P917" s="74"/>
      <c r="Q917" s="74"/>
      <c r="R917" s="74"/>
      <c r="S917" s="74"/>
      <c r="T917" s="74"/>
      <c r="U917" s="74"/>
      <c r="V917" s="74"/>
      <c r="W917" s="74"/>
      <c r="X917" s="74"/>
      <c r="Y917" s="74"/>
      <c r="Z917" s="74"/>
    </row>
    <row r="918">
      <c r="A918" s="74"/>
      <c r="B918" s="73"/>
      <c r="C918" s="73"/>
      <c r="D918" s="73"/>
      <c r="E918" s="73"/>
      <c r="F918" s="74"/>
      <c r="G918" s="74"/>
      <c r="H918" s="74"/>
      <c r="I918" s="74"/>
      <c r="J918" s="74"/>
      <c r="K918" s="74"/>
      <c r="L918" s="74"/>
      <c r="M918" s="74"/>
      <c r="N918" s="74"/>
      <c r="O918" s="74"/>
      <c r="P918" s="74"/>
      <c r="Q918" s="74"/>
      <c r="R918" s="74"/>
      <c r="S918" s="74"/>
      <c r="T918" s="74"/>
      <c r="U918" s="74"/>
      <c r="V918" s="74"/>
      <c r="W918" s="74"/>
      <c r="X918" s="74"/>
      <c r="Y918" s="74"/>
      <c r="Z918" s="74"/>
    </row>
    <row r="919">
      <c r="A919" s="74"/>
      <c r="B919" s="73"/>
      <c r="C919" s="73"/>
      <c r="D919" s="73"/>
      <c r="E919" s="73"/>
      <c r="F919" s="74"/>
      <c r="G919" s="74"/>
      <c r="H919" s="74"/>
      <c r="I919" s="74"/>
      <c r="J919" s="74"/>
      <c r="K919" s="74"/>
      <c r="L919" s="74"/>
      <c r="M919" s="74"/>
      <c r="N919" s="74"/>
      <c r="O919" s="74"/>
      <c r="P919" s="74"/>
      <c r="Q919" s="74"/>
      <c r="R919" s="74"/>
      <c r="S919" s="74"/>
      <c r="T919" s="74"/>
      <c r="U919" s="74"/>
      <c r="V919" s="74"/>
      <c r="W919" s="74"/>
      <c r="X919" s="74"/>
      <c r="Y919" s="74"/>
      <c r="Z919" s="74"/>
    </row>
    <row r="920">
      <c r="A920" s="74"/>
      <c r="B920" s="73"/>
      <c r="C920" s="73"/>
      <c r="D920" s="73"/>
      <c r="E920" s="73"/>
      <c r="F920" s="74"/>
      <c r="G920" s="74"/>
      <c r="H920" s="74"/>
      <c r="I920" s="74"/>
      <c r="J920" s="74"/>
      <c r="K920" s="74"/>
      <c r="L920" s="74"/>
      <c r="M920" s="74"/>
      <c r="N920" s="74"/>
      <c r="O920" s="74"/>
      <c r="P920" s="74"/>
      <c r="Q920" s="74"/>
      <c r="R920" s="74"/>
      <c r="S920" s="74"/>
      <c r="T920" s="74"/>
      <c r="U920" s="74"/>
      <c r="V920" s="74"/>
      <c r="W920" s="74"/>
      <c r="X920" s="74"/>
      <c r="Y920" s="74"/>
      <c r="Z920" s="74"/>
    </row>
    <row r="921">
      <c r="A921" s="74"/>
      <c r="B921" s="73"/>
      <c r="C921" s="73"/>
      <c r="D921" s="73"/>
      <c r="E921" s="73"/>
      <c r="F921" s="74"/>
      <c r="G921" s="74"/>
      <c r="H921" s="74"/>
      <c r="I921" s="74"/>
      <c r="J921" s="74"/>
      <c r="K921" s="74"/>
      <c r="L921" s="74"/>
      <c r="M921" s="74"/>
      <c r="N921" s="74"/>
      <c r="O921" s="74"/>
      <c r="P921" s="74"/>
      <c r="Q921" s="74"/>
      <c r="R921" s="74"/>
      <c r="S921" s="74"/>
      <c r="T921" s="74"/>
      <c r="U921" s="74"/>
      <c r="V921" s="74"/>
      <c r="W921" s="74"/>
      <c r="X921" s="74"/>
      <c r="Y921" s="74"/>
      <c r="Z921" s="74"/>
    </row>
    <row r="922">
      <c r="A922" s="74"/>
      <c r="B922" s="73"/>
      <c r="C922" s="73"/>
      <c r="D922" s="73"/>
      <c r="E922" s="73"/>
      <c r="F922" s="74"/>
      <c r="G922" s="74"/>
      <c r="H922" s="74"/>
      <c r="I922" s="74"/>
      <c r="J922" s="74"/>
      <c r="K922" s="74"/>
      <c r="L922" s="74"/>
      <c r="M922" s="74"/>
      <c r="N922" s="74"/>
      <c r="O922" s="74"/>
      <c r="P922" s="74"/>
      <c r="Q922" s="74"/>
      <c r="R922" s="74"/>
      <c r="S922" s="74"/>
      <c r="T922" s="74"/>
      <c r="U922" s="74"/>
      <c r="V922" s="74"/>
      <c r="W922" s="74"/>
      <c r="X922" s="74"/>
      <c r="Y922" s="74"/>
      <c r="Z922" s="74"/>
    </row>
    <row r="923">
      <c r="A923" s="74"/>
      <c r="B923" s="73"/>
      <c r="C923" s="73"/>
      <c r="D923" s="73"/>
      <c r="E923" s="73"/>
      <c r="F923" s="74"/>
      <c r="G923" s="74"/>
      <c r="H923" s="74"/>
      <c r="I923" s="74"/>
      <c r="J923" s="74"/>
      <c r="K923" s="74"/>
      <c r="L923" s="74"/>
      <c r="M923" s="74"/>
      <c r="N923" s="74"/>
      <c r="O923" s="74"/>
      <c r="P923" s="74"/>
      <c r="Q923" s="74"/>
      <c r="R923" s="74"/>
      <c r="S923" s="74"/>
      <c r="T923" s="74"/>
      <c r="U923" s="74"/>
      <c r="V923" s="74"/>
      <c r="W923" s="74"/>
      <c r="X923" s="74"/>
      <c r="Y923" s="74"/>
      <c r="Z923" s="74"/>
    </row>
    <row r="924">
      <c r="A924" s="74"/>
      <c r="B924" s="73"/>
      <c r="C924" s="73"/>
      <c r="D924" s="73"/>
      <c r="E924" s="73"/>
      <c r="F924" s="74"/>
      <c r="G924" s="74"/>
      <c r="H924" s="74"/>
      <c r="I924" s="74"/>
      <c r="J924" s="74"/>
      <c r="K924" s="74"/>
      <c r="L924" s="74"/>
      <c r="M924" s="74"/>
      <c r="N924" s="74"/>
      <c r="O924" s="74"/>
      <c r="P924" s="74"/>
      <c r="Q924" s="74"/>
      <c r="R924" s="74"/>
      <c r="S924" s="74"/>
      <c r="T924" s="74"/>
      <c r="U924" s="74"/>
      <c r="V924" s="74"/>
      <c r="W924" s="74"/>
      <c r="X924" s="74"/>
      <c r="Y924" s="74"/>
      <c r="Z924" s="74"/>
    </row>
    <row r="925">
      <c r="A925" s="74"/>
      <c r="B925" s="73"/>
      <c r="C925" s="73"/>
      <c r="D925" s="73"/>
      <c r="E925" s="73"/>
      <c r="F925" s="74"/>
      <c r="G925" s="74"/>
      <c r="H925" s="74"/>
      <c r="I925" s="74"/>
      <c r="J925" s="74"/>
      <c r="K925" s="74"/>
      <c r="L925" s="74"/>
      <c r="M925" s="74"/>
      <c r="N925" s="74"/>
      <c r="O925" s="74"/>
      <c r="P925" s="74"/>
      <c r="Q925" s="74"/>
      <c r="R925" s="74"/>
      <c r="S925" s="74"/>
      <c r="T925" s="74"/>
      <c r="U925" s="74"/>
      <c r="V925" s="74"/>
      <c r="W925" s="74"/>
      <c r="X925" s="74"/>
      <c r="Y925" s="74"/>
      <c r="Z925" s="74"/>
    </row>
    <row r="926">
      <c r="A926" s="74"/>
      <c r="B926" s="73"/>
      <c r="C926" s="73"/>
      <c r="D926" s="73"/>
      <c r="E926" s="73"/>
      <c r="F926" s="74"/>
      <c r="G926" s="74"/>
      <c r="H926" s="74"/>
      <c r="I926" s="74"/>
      <c r="J926" s="74"/>
      <c r="K926" s="74"/>
      <c r="L926" s="74"/>
      <c r="M926" s="74"/>
      <c r="N926" s="74"/>
      <c r="O926" s="74"/>
      <c r="P926" s="74"/>
      <c r="Q926" s="74"/>
      <c r="R926" s="74"/>
      <c r="S926" s="74"/>
      <c r="T926" s="74"/>
      <c r="U926" s="74"/>
      <c r="V926" s="74"/>
      <c r="W926" s="74"/>
      <c r="X926" s="74"/>
      <c r="Y926" s="74"/>
      <c r="Z926" s="74"/>
    </row>
    <row r="927">
      <c r="A927" s="74"/>
      <c r="B927" s="73"/>
      <c r="C927" s="73"/>
      <c r="D927" s="73"/>
      <c r="E927" s="73"/>
      <c r="F927" s="74"/>
      <c r="G927" s="74"/>
      <c r="H927" s="74"/>
      <c r="I927" s="74"/>
      <c r="J927" s="74"/>
      <c r="K927" s="74"/>
      <c r="L927" s="74"/>
      <c r="M927" s="74"/>
      <c r="N927" s="74"/>
      <c r="O927" s="74"/>
      <c r="P927" s="74"/>
      <c r="Q927" s="74"/>
      <c r="R927" s="74"/>
      <c r="S927" s="74"/>
      <c r="T927" s="74"/>
      <c r="U927" s="74"/>
      <c r="V927" s="74"/>
      <c r="W927" s="74"/>
      <c r="X927" s="74"/>
      <c r="Y927" s="74"/>
      <c r="Z927" s="74"/>
    </row>
    <row r="928">
      <c r="A928" s="74"/>
      <c r="B928" s="73"/>
      <c r="C928" s="73"/>
      <c r="D928" s="73"/>
      <c r="E928" s="73"/>
      <c r="F928" s="74"/>
      <c r="G928" s="74"/>
      <c r="H928" s="74"/>
      <c r="I928" s="74"/>
      <c r="J928" s="74"/>
      <c r="K928" s="74"/>
      <c r="L928" s="74"/>
      <c r="M928" s="74"/>
      <c r="N928" s="74"/>
      <c r="O928" s="74"/>
      <c r="P928" s="74"/>
      <c r="Q928" s="74"/>
      <c r="R928" s="74"/>
      <c r="S928" s="74"/>
      <c r="T928" s="74"/>
      <c r="U928" s="74"/>
      <c r="V928" s="74"/>
      <c r="W928" s="74"/>
      <c r="X928" s="74"/>
      <c r="Y928" s="74"/>
      <c r="Z928" s="74"/>
    </row>
    <row r="929">
      <c r="A929" s="74"/>
      <c r="B929" s="73"/>
      <c r="C929" s="73"/>
      <c r="D929" s="73"/>
      <c r="E929" s="73"/>
      <c r="F929" s="74"/>
      <c r="G929" s="74"/>
      <c r="H929" s="74"/>
      <c r="I929" s="74"/>
      <c r="J929" s="74"/>
      <c r="K929" s="74"/>
      <c r="L929" s="74"/>
      <c r="M929" s="74"/>
      <c r="N929" s="74"/>
      <c r="O929" s="74"/>
      <c r="P929" s="74"/>
      <c r="Q929" s="74"/>
      <c r="R929" s="74"/>
      <c r="S929" s="74"/>
      <c r="T929" s="74"/>
      <c r="U929" s="74"/>
      <c r="V929" s="74"/>
      <c r="W929" s="74"/>
      <c r="X929" s="74"/>
      <c r="Y929" s="74"/>
      <c r="Z929" s="74"/>
    </row>
    <row r="930">
      <c r="A930" s="74"/>
      <c r="B930" s="73"/>
      <c r="C930" s="73"/>
      <c r="D930" s="73"/>
      <c r="E930" s="73"/>
      <c r="F930" s="74"/>
      <c r="G930" s="74"/>
      <c r="H930" s="74"/>
      <c r="I930" s="74"/>
      <c r="J930" s="74"/>
      <c r="K930" s="74"/>
      <c r="L930" s="74"/>
      <c r="M930" s="74"/>
      <c r="N930" s="74"/>
      <c r="O930" s="74"/>
      <c r="P930" s="74"/>
      <c r="Q930" s="74"/>
      <c r="R930" s="74"/>
      <c r="S930" s="74"/>
      <c r="T930" s="74"/>
      <c r="U930" s="74"/>
      <c r="V930" s="74"/>
      <c r="W930" s="74"/>
      <c r="X930" s="74"/>
      <c r="Y930" s="74"/>
      <c r="Z930" s="74"/>
    </row>
    <row r="931">
      <c r="A931" s="74"/>
      <c r="B931" s="73"/>
      <c r="C931" s="73"/>
      <c r="D931" s="73"/>
      <c r="E931" s="73"/>
      <c r="F931" s="74"/>
      <c r="G931" s="74"/>
      <c r="H931" s="74"/>
      <c r="I931" s="74"/>
      <c r="J931" s="74"/>
      <c r="K931" s="74"/>
      <c r="L931" s="74"/>
      <c r="M931" s="74"/>
      <c r="N931" s="74"/>
      <c r="O931" s="74"/>
      <c r="P931" s="74"/>
      <c r="Q931" s="74"/>
      <c r="R931" s="74"/>
      <c r="S931" s="74"/>
      <c r="T931" s="74"/>
      <c r="U931" s="74"/>
      <c r="V931" s="74"/>
      <c r="W931" s="74"/>
      <c r="X931" s="74"/>
      <c r="Y931" s="74"/>
      <c r="Z931" s="74"/>
    </row>
    <row r="932">
      <c r="A932" s="74"/>
      <c r="B932" s="73"/>
      <c r="C932" s="73"/>
      <c r="D932" s="73"/>
      <c r="E932" s="73"/>
      <c r="F932" s="74"/>
      <c r="G932" s="74"/>
      <c r="H932" s="74"/>
      <c r="I932" s="74"/>
      <c r="J932" s="74"/>
      <c r="K932" s="74"/>
      <c r="L932" s="74"/>
      <c r="M932" s="74"/>
      <c r="N932" s="74"/>
      <c r="O932" s="74"/>
      <c r="P932" s="74"/>
      <c r="Q932" s="74"/>
      <c r="R932" s="74"/>
      <c r="S932" s="74"/>
      <c r="T932" s="74"/>
      <c r="U932" s="74"/>
      <c r="V932" s="74"/>
      <c r="W932" s="74"/>
      <c r="X932" s="74"/>
      <c r="Y932" s="74"/>
      <c r="Z932" s="74"/>
    </row>
    <row r="933">
      <c r="A933" s="74"/>
      <c r="B933" s="73"/>
      <c r="C933" s="73"/>
      <c r="D933" s="73"/>
      <c r="E933" s="73"/>
      <c r="F933" s="74"/>
      <c r="G933" s="74"/>
      <c r="H933" s="74"/>
      <c r="I933" s="74"/>
      <c r="J933" s="74"/>
      <c r="K933" s="74"/>
      <c r="L933" s="74"/>
      <c r="M933" s="74"/>
      <c r="N933" s="74"/>
      <c r="O933" s="74"/>
      <c r="P933" s="74"/>
      <c r="Q933" s="74"/>
      <c r="R933" s="74"/>
      <c r="S933" s="74"/>
      <c r="T933" s="74"/>
      <c r="U933" s="74"/>
      <c r="V933" s="74"/>
      <c r="W933" s="74"/>
      <c r="X933" s="74"/>
      <c r="Y933" s="74"/>
      <c r="Z933" s="74"/>
    </row>
    <row r="934">
      <c r="A934" s="74"/>
      <c r="B934" s="73"/>
      <c r="C934" s="73"/>
      <c r="D934" s="73"/>
      <c r="E934" s="73"/>
      <c r="F934" s="74"/>
      <c r="G934" s="74"/>
      <c r="H934" s="74"/>
      <c r="I934" s="74"/>
      <c r="J934" s="74"/>
      <c r="K934" s="74"/>
      <c r="L934" s="74"/>
      <c r="M934" s="74"/>
      <c r="N934" s="74"/>
      <c r="O934" s="74"/>
      <c r="P934" s="74"/>
      <c r="Q934" s="74"/>
      <c r="R934" s="74"/>
      <c r="S934" s="74"/>
      <c r="T934" s="74"/>
      <c r="U934" s="74"/>
      <c r="V934" s="74"/>
      <c r="W934" s="74"/>
      <c r="X934" s="74"/>
      <c r="Y934" s="74"/>
      <c r="Z934" s="74"/>
    </row>
    <row r="935">
      <c r="A935" s="74"/>
      <c r="B935" s="73"/>
      <c r="C935" s="73"/>
      <c r="D935" s="73"/>
      <c r="E935" s="73"/>
      <c r="F935" s="74"/>
      <c r="G935" s="74"/>
      <c r="H935" s="74"/>
      <c r="I935" s="74"/>
      <c r="J935" s="74"/>
      <c r="K935" s="74"/>
      <c r="L935" s="74"/>
      <c r="M935" s="74"/>
      <c r="N935" s="74"/>
      <c r="O935" s="74"/>
      <c r="P935" s="74"/>
      <c r="Q935" s="74"/>
      <c r="R935" s="74"/>
      <c r="S935" s="74"/>
      <c r="T935" s="74"/>
      <c r="U935" s="74"/>
      <c r="V935" s="74"/>
      <c r="W935" s="74"/>
      <c r="X935" s="74"/>
      <c r="Y935" s="74"/>
      <c r="Z935" s="74"/>
    </row>
    <row r="936">
      <c r="A936" s="74"/>
      <c r="B936" s="73"/>
      <c r="C936" s="73"/>
      <c r="D936" s="73"/>
      <c r="E936" s="73"/>
      <c r="F936" s="74"/>
      <c r="G936" s="74"/>
      <c r="H936" s="74"/>
      <c r="I936" s="74"/>
      <c r="J936" s="74"/>
      <c r="K936" s="74"/>
      <c r="L936" s="74"/>
      <c r="M936" s="74"/>
      <c r="N936" s="74"/>
      <c r="O936" s="74"/>
      <c r="P936" s="74"/>
      <c r="Q936" s="74"/>
      <c r="R936" s="74"/>
      <c r="S936" s="74"/>
      <c r="T936" s="74"/>
      <c r="U936" s="74"/>
      <c r="V936" s="74"/>
      <c r="W936" s="74"/>
      <c r="X936" s="74"/>
      <c r="Y936" s="74"/>
      <c r="Z936" s="74"/>
    </row>
    <row r="937">
      <c r="A937" s="74"/>
      <c r="B937" s="73"/>
      <c r="C937" s="73"/>
      <c r="D937" s="73"/>
      <c r="E937" s="73"/>
      <c r="F937" s="74"/>
      <c r="G937" s="74"/>
      <c r="H937" s="74"/>
      <c r="I937" s="74"/>
      <c r="J937" s="74"/>
      <c r="K937" s="74"/>
      <c r="L937" s="74"/>
      <c r="M937" s="74"/>
      <c r="N937" s="74"/>
      <c r="O937" s="74"/>
      <c r="P937" s="74"/>
      <c r="Q937" s="74"/>
      <c r="R937" s="74"/>
      <c r="S937" s="74"/>
      <c r="T937" s="74"/>
      <c r="U937" s="74"/>
      <c r="V937" s="74"/>
      <c r="W937" s="74"/>
      <c r="X937" s="74"/>
      <c r="Y937" s="74"/>
      <c r="Z937" s="74"/>
    </row>
    <row r="938">
      <c r="A938" s="74"/>
      <c r="B938" s="73"/>
      <c r="C938" s="73"/>
      <c r="D938" s="73"/>
      <c r="E938" s="73"/>
      <c r="F938" s="74"/>
      <c r="G938" s="74"/>
      <c r="H938" s="74"/>
      <c r="I938" s="74"/>
      <c r="J938" s="74"/>
      <c r="K938" s="74"/>
      <c r="L938" s="74"/>
      <c r="M938" s="74"/>
      <c r="N938" s="74"/>
      <c r="O938" s="74"/>
      <c r="P938" s="74"/>
      <c r="Q938" s="74"/>
      <c r="R938" s="74"/>
      <c r="S938" s="74"/>
      <c r="T938" s="74"/>
      <c r="U938" s="74"/>
      <c r="V938" s="74"/>
      <c r="W938" s="74"/>
      <c r="X938" s="74"/>
      <c r="Y938" s="74"/>
      <c r="Z938" s="74"/>
    </row>
    <row r="939">
      <c r="A939" s="74"/>
      <c r="B939" s="73"/>
      <c r="C939" s="73"/>
      <c r="D939" s="73"/>
      <c r="E939" s="73"/>
      <c r="F939" s="74"/>
      <c r="G939" s="74"/>
      <c r="H939" s="74"/>
      <c r="I939" s="74"/>
      <c r="J939" s="74"/>
      <c r="K939" s="74"/>
      <c r="L939" s="74"/>
      <c r="M939" s="74"/>
      <c r="N939" s="74"/>
      <c r="O939" s="74"/>
      <c r="P939" s="74"/>
      <c r="Q939" s="74"/>
      <c r="R939" s="74"/>
      <c r="S939" s="74"/>
      <c r="T939" s="74"/>
      <c r="U939" s="74"/>
      <c r="V939" s="74"/>
      <c r="W939" s="74"/>
      <c r="X939" s="74"/>
      <c r="Y939" s="74"/>
      <c r="Z939" s="74"/>
    </row>
    <row r="940">
      <c r="A940" s="74"/>
      <c r="B940" s="73"/>
      <c r="C940" s="73"/>
      <c r="D940" s="73"/>
      <c r="E940" s="73"/>
      <c r="F940" s="74"/>
      <c r="G940" s="74"/>
      <c r="H940" s="74"/>
      <c r="I940" s="74"/>
      <c r="J940" s="74"/>
      <c r="K940" s="74"/>
      <c r="L940" s="74"/>
      <c r="M940" s="74"/>
      <c r="N940" s="74"/>
      <c r="O940" s="74"/>
      <c r="P940" s="74"/>
      <c r="Q940" s="74"/>
      <c r="R940" s="74"/>
      <c r="S940" s="74"/>
      <c r="T940" s="74"/>
      <c r="U940" s="74"/>
      <c r="V940" s="74"/>
      <c r="W940" s="74"/>
      <c r="X940" s="74"/>
      <c r="Y940" s="74"/>
      <c r="Z940" s="74"/>
    </row>
    <row r="941">
      <c r="A941" s="74"/>
      <c r="B941" s="73"/>
      <c r="C941" s="73"/>
      <c r="D941" s="73"/>
      <c r="E941" s="73"/>
      <c r="F941" s="74"/>
      <c r="G941" s="74"/>
      <c r="H941" s="74"/>
      <c r="I941" s="74"/>
      <c r="J941" s="74"/>
      <c r="K941" s="74"/>
      <c r="L941" s="74"/>
      <c r="M941" s="74"/>
      <c r="N941" s="74"/>
      <c r="O941" s="74"/>
      <c r="P941" s="74"/>
      <c r="Q941" s="74"/>
      <c r="R941" s="74"/>
      <c r="S941" s="74"/>
      <c r="T941" s="74"/>
      <c r="U941" s="74"/>
      <c r="V941" s="74"/>
      <c r="W941" s="74"/>
      <c r="X941" s="74"/>
      <c r="Y941" s="74"/>
      <c r="Z941" s="74"/>
    </row>
    <row r="942">
      <c r="A942" s="74"/>
      <c r="B942" s="73"/>
      <c r="C942" s="73"/>
      <c r="D942" s="73"/>
      <c r="E942" s="73"/>
      <c r="F942" s="74"/>
      <c r="G942" s="74"/>
      <c r="H942" s="74"/>
      <c r="I942" s="74"/>
      <c r="J942" s="74"/>
      <c r="K942" s="74"/>
      <c r="L942" s="74"/>
      <c r="M942" s="74"/>
      <c r="N942" s="74"/>
      <c r="O942" s="74"/>
      <c r="P942" s="74"/>
      <c r="Q942" s="74"/>
      <c r="R942" s="74"/>
      <c r="S942" s="74"/>
      <c r="T942" s="74"/>
      <c r="U942" s="74"/>
      <c r="V942" s="74"/>
      <c r="W942" s="74"/>
      <c r="X942" s="74"/>
      <c r="Y942" s="74"/>
      <c r="Z942" s="74"/>
    </row>
    <row r="943">
      <c r="A943" s="74"/>
      <c r="B943" s="73"/>
      <c r="C943" s="73"/>
      <c r="D943" s="73"/>
      <c r="E943" s="73"/>
      <c r="F943" s="74"/>
      <c r="G943" s="74"/>
      <c r="H943" s="74"/>
      <c r="I943" s="74"/>
      <c r="J943" s="74"/>
      <c r="K943" s="74"/>
      <c r="L943" s="74"/>
      <c r="M943" s="74"/>
      <c r="N943" s="74"/>
      <c r="O943" s="74"/>
      <c r="P943" s="74"/>
      <c r="Q943" s="74"/>
      <c r="R943" s="74"/>
      <c r="S943" s="74"/>
      <c r="T943" s="74"/>
      <c r="U943" s="74"/>
      <c r="V943" s="74"/>
      <c r="W943" s="74"/>
      <c r="X943" s="74"/>
      <c r="Y943" s="74"/>
      <c r="Z943" s="74"/>
    </row>
    <row r="944">
      <c r="A944" s="74"/>
      <c r="B944" s="73"/>
      <c r="C944" s="73"/>
      <c r="D944" s="73"/>
      <c r="E944" s="73"/>
      <c r="F944" s="74"/>
      <c r="G944" s="74"/>
      <c r="H944" s="74"/>
      <c r="I944" s="74"/>
      <c r="J944" s="74"/>
      <c r="K944" s="74"/>
      <c r="L944" s="74"/>
      <c r="M944" s="74"/>
      <c r="N944" s="74"/>
      <c r="O944" s="74"/>
      <c r="P944" s="74"/>
      <c r="Q944" s="74"/>
      <c r="R944" s="74"/>
      <c r="S944" s="74"/>
      <c r="T944" s="74"/>
      <c r="U944" s="74"/>
      <c r="V944" s="74"/>
      <c r="W944" s="74"/>
      <c r="X944" s="74"/>
      <c r="Y944" s="74"/>
      <c r="Z944" s="74"/>
    </row>
    <row r="945">
      <c r="A945" s="74"/>
      <c r="B945" s="73"/>
      <c r="C945" s="73"/>
      <c r="D945" s="73"/>
      <c r="E945" s="73"/>
      <c r="F945" s="74"/>
      <c r="G945" s="74"/>
      <c r="H945" s="74"/>
      <c r="I945" s="74"/>
      <c r="J945" s="74"/>
      <c r="K945" s="74"/>
      <c r="L945" s="74"/>
      <c r="M945" s="74"/>
      <c r="N945" s="74"/>
      <c r="O945" s="74"/>
      <c r="P945" s="74"/>
      <c r="Q945" s="74"/>
      <c r="R945" s="74"/>
      <c r="S945" s="74"/>
      <c r="T945" s="74"/>
      <c r="U945" s="74"/>
      <c r="V945" s="74"/>
      <c r="W945" s="74"/>
      <c r="X945" s="74"/>
      <c r="Y945" s="74"/>
      <c r="Z945" s="74"/>
    </row>
    <row r="946">
      <c r="A946" s="74"/>
      <c r="B946" s="73"/>
      <c r="C946" s="73"/>
      <c r="D946" s="73"/>
      <c r="E946" s="73"/>
      <c r="F946" s="74"/>
      <c r="G946" s="74"/>
      <c r="H946" s="74"/>
      <c r="I946" s="74"/>
      <c r="J946" s="74"/>
      <c r="K946" s="74"/>
      <c r="L946" s="74"/>
      <c r="M946" s="74"/>
      <c r="N946" s="74"/>
      <c r="O946" s="74"/>
      <c r="P946" s="74"/>
      <c r="Q946" s="74"/>
      <c r="R946" s="74"/>
      <c r="S946" s="74"/>
      <c r="T946" s="74"/>
      <c r="U946" s="74"/>
      <c r="V946" s="74"/>
      <c r="W946" s="74"/>
      <c r="X946" s="74"/>
      <c r="Y946" s="74"/>
      <c r="Z946" s="74"/>
    </row>
    <row r="947">
      <c r="A947" s="74"/>
      <c r="B947" s="73"/>
      <c r="C947" s="73"/>
      <c r="D947" s="73"/>
      <c r="E947" s="73"/>
      <c r="F947" s="74"/>
      <c r="G947" s="74"/>
      <c r="H947" s="74"/>
      <c r="I947" s="74"/>
      <c r="J947" s="74"/>
      <c r="K947" s="74"/>
      <c r="L947" s="74"/>
      <c r="M947" s="74"/>
      <c r="N947" s="74"/>
      <c r="O947" s="74"/>
      <c r="P947" s="74"/>
      <c r="Q947" s="74"/>
      <c r="R947" s="74"/>
      <c r="S947" s="74"/>
      <c r="T947" s="74"/>
      <c r="U947" s="74"/>
      <c r="V947" s="74"/>
      <c r="W947" s="74"/>
      <c r="X947" s="74"/>
      <c r="Y947" s="74"/>
      <c r="Z947" s="74"/>
    </row>
    <row r="948">
      <c r="A948" s="74"/>
      <c r="B948" s="73"/>
      <c r="C948" s="73"/>
      <c r="D948" s="73"/>
      <c r="E948" s="73"/>
      <c r="F948" s="74"/>
      <c r="G948" s="74"/>
      <c r="H948" s="74"/>
      <c r="I948" s="74"/>
      <c r="J948" s="74"/>
      <c r="K948" s="74"/>
      <c r="L948" s="74"/>
      <c r="M948" s="74"/>
      <c r="N948" s="74"/>
      <c r="O948" s="74"/>
      <c r="P948" s="74"/>
      <c r="Q948" s="74"/>
      <c r="R948" s="74"/>
      <c r="S948" s="74"/>
      <c r="T948" s="74"/>
      <c r="U948" s="74"/>
      <c r="V948" s="74"/>
      <c r="W948" s="74"/>
      <c r="X948" s="74"/>
      <c r="Y948" s="74"/>
      <c r="Z948" s="74"/>
    </row>
    <row r="949">
      <c r="A949" s="74"/>
      <c r="B949" s="73"/>
      <c r="C949" s="73"/>
      <c r="D949" s="73"/>
      <c r="E949" s="73"/>
      <c r="F949" s="74"/>
      <c r="G949" s="74"/>
      <c r="H949" s="74"/>
      <c r="I949" s="74"/>
      <c r="J949" s="74"/>
      <c r="K949" s="74"/>
      <c r="L949" s="74"/>
      <c r="M949" s="74"/>
      <c r="N949" s="74"/>
      <c r="O949" s="74"/>
      <c r="P949" s="74"/>
      <c r="Q949" s="74"/>
      <c r="R949" s="74"/>
      <c r="S949" s="74"/>
      <c r="T949" s="74"/>
      <c r="U949" s="74"/>
      <c r="V949" s="74"/>
      <c r="W949" s="74"/>
      <c r="X949" s="74"/>
      <c r="Y949" s="74"/>
      <c r="Z949" s="74"/>
    </row>
    <row r="950">
      <c r="A950" s="74"/>
      <c r="B950" s="73"/>
      <c r="C950" s="73"/>
      <c r="D950" s="73"/>
      <c r="E950" s="73"/>
      <c r="F950" s="74"/>
      <c r="G950" s="74"/>
      <c r="H950" s="74"/>
      <c r="I950" s="74"/>
      <c r="J950" s="74"/>
      <c r="K950" s="74"/>
      <c r="L950" s="74"/>
      <c r="M950" s="74"/>
      <c r="N950" s="74"/>
      <c r="O950" s="74"/>
      <c r="P950" s="74"/>
      <c r="Q950" s="74"/>
      <c r="R950" s="74"/>
      <c r="S950" s="74"/>
      <c r="T950" s="74"/>
      <c r="U950" s="74"/>
      <c r="V950" s="74"/>
      <c r="W950" s="74"/>
      <c r="X950" s="74"/>
      <c r="Y950" s="74"/>
      <c r="Z950" s="74"/>
    </row>
    <row r="951">
      <c r="A951" s="74"/>
      <c r="B951" s="73"/>
      <c r="C951" s="73"/>
      <c r="D951" s="73"/>
      <c r="E951" s="73"/>
      <c r="F951" s="74"/>
      <c r="G951" s="74"/>
      <c r="H951" s="74"/>
      <c r="I951" s="74"/>
      <c r="J951" s="74"/>
      <c r="K951" s="74"/>
      <c r="L951" s="74"/>
      <c r="M951" s="74"/>
      <c r="N951" s="74"/>
      <c r="O951" s="74"/>
      <c r="P951" s="74"/>
      <c r="Q951" s="74"/>
      <c r="R951" s="74"/>
      <c r="S951" s="74"/>
      <c r="T951" s="74"/>
      <c r="U951" s="74"/>
      <c r="V951" s="74"/>
      <c r="W951" s="74"/>
      <c r="X951" s="74"/>
      <c r="Y951" s="74"/>
      <c r="Z951" s="74"/>
    </row>
    <row r="952">
      <c r="A952" s="74"/>
      <c r="B952" s="73"/>
      <c r="C952" s="73"/>
      <c r="D952" s="73"/>
      <c r="E952" s="73"/>
      <c r="F952" s="74"/>
      <c r="G952" s="74"/>
      <c r="H952" s="74"/>
      <c r="I952" s="74"/>
      <c r="J952" s="74"/>
      <c r="K952" s="74"/>
      <c r="L952" s="74"/>
      <c r="M952" s="74"/>
      <c r="N952" s="74"/>
      <c r="O952" s="74"/>
      <c r="P952" s="74"/>
      <c r="Q952" s="74"/>
      <c r="R952" s="74"/>
      <c r="S952" s="74"/>
      <c r="T952" s="74"/>
      <c r="U952" s="74"/>
      <c r="V952" s="74"/>
      <c r="W952" s="74"/>
      <c r="X952" s="74"/>
      <c r="Y952" s="74"/>
      <c r="Z952" s="74"/>
    </row>
    <row r="953">
      <c r="A953" s="74"/>
      <c r="B953" s="73"/>
      <c r="C953" s="73"/>
      <c r="D953" s="73"/>
      <c r="E953" s="73"/>
      <c r="F953" s="74"/>
      <c r="G953" s="74"/>
      <c r="H953" s="74"/>
      <c r="I953" s="74"/>
      <c r="J953" s="74"/>
      <c r="K953" s="74"/>
      <c r="L953" s="74"/>
      <c r="M953" s="74"/>
      <c r="N953" s="74"/>
      <c r="O953" s="74"/>
      <c r="P953" s="74"/>
      <c r="Q953" s="74"/>
      <c r="R953" s="74"/>
      <c r="S953" s="74"/>
      <c r="T953" s="74"/>
      <c r="U953" s="74"/>
      <c r="V953" s="74"/>
      <c r="W953" s="74"/>
      <c r="X953" s="74"/>
      <c r="Y953" s="74"/>
      <c r="Z953" s="74"/>
    </row>
    <row r="954">
      <c r="A954" s="74"/>
      <c r="B954" s="73"/>
      <c r="C954" s="73"/>
      <c r="D954" s="73"/>
      <c r="E954" s="73"/>
      <c r="F954" s="74"/>
      <c r="G954" s="74"/>
      <c r="H954" s="74"/>
      <c r="I954" s="74"/>
      <c r="J954" s="74"/>
      <c r="K954" s="74"/>
      <c r="L954" s="74"/>
      <c r="M954" s="74"/>
      <c r="N954" s="74"/>
      <c r="O954" s="74"/>
      <c r="P954" s="74"/>
      <c r="Q954" s="74"/>
      <c r="R954" s="74"/>
      <c r="S954" s="74"/>
      <c r="T954" s="74"/>
      <c r="U954" s="74"/>
      <c r="V954" s="74"/>
      <c r="W954" s="74"/>
      <c r="X954" s="74"/>
      <c r="Y954" s="74"/>
      <c r="Z954" s="74"/>
    </row>
    <row r="955">
      <c r="A955" s="74"/>
      <c r="B955" s="73"/>
      <c r="C955" s="73"/>
      <c r="D955" s="73"/>
      <c r="E955" s="73"/>
      <c r="F955" s="74"/>
      <c r="G955" s="74"/>
      <c r="H955" s="74"/>
      <c r="I955" s="74"/>
      <c r="J955" s="74"/>
      <c r="K955" s="74"/>
      <c r="L955" s="74"/>
      <c r="M955" s="74"/>
      <c r="N955" s="74"/>
      <c r="O955" s="74"/>
      <c r="P955" s="74"/>
      <c r="Q955" s="74"/>
      <c r="R955" s="74"/>
      <c r="S955" s="74"/>
      <c r="T955" s="74"/>
      <c r="U955" s="74"/>
      <c r="V955" s="74"/>
      <c r="W955" s="74"/>
      <c r="X955" s="74"/>
      <c r="Y955" s="74"/>
      <c r="Z955" s="74"/>
    </row>
    <row r="956">
      <c r="A956" s="74"/>
      <c r="B956" s="73"/>
      <c r="C956" s="73"/>
      <c r="D956" s="73"/>
      <c r="E956" s="73"/>
      <c r="F956" s="74"/>
      <c r="G956" s="74"/>
      <c r="H956" s="74"/>
      <c r="I956" s="74"/>
      <c r="J956" s="74"/>
      <c r="K956" s="74"/>
      <c r="L956" s="74"/>
      <c r="M956" s="74"/>
      <c r="N956" s="74"/>
      <c r="O956" s="74"/>
      <c r="P956" s="74"/>
      <c r="Q956" s="74"/>
      <c r="R956" s="74"/>
      <c r="S956" s="74"/>
      <c r="T956" s="74"/>
      <c r="U956" s="74"/>
      <c r="V956" s="74"/>
      <c r="W956" s="74"/>
      <c r="X956" s="74"/>
      <c r="Y956" s="74"/>
      <c r="Z956" s="74"/>
    </row>
    <row r="957">
      <c r="A957" s="74"/>
      <c r="B957" s="73"/>
      <c r="C957" s="73"/>
      <c r="D957" s="73"/>
      <c r="E957" s="73"/>
      <c r="F957" s="74"/>
      <c r="G957" s="74"/>
      <c r="H957" s="74"/>
      <c r="I957" s="74"/>
      <c r="J957" s="74"/>
      <c r="K957" s="74"/>
      <c r="L957" s="74"/>
      <c r="M957" s="74"/>
      <c r="N957" s="74"/>
      <c r="O957" s="74"/>
      <c r="P957" s="74"/>
      <c r="Q957" s="74"/>
      <c r="R957" s="74"/>
      <c r="S957" s="74"/>
      <c r="T957" s="74"/>
      <c r="U957" s="74"/>
      <c r="V957" s="74"/>
      <c r="W957" s="74"/>
      <c r="X957" s="74"/>
      <c r="Y957" s="74"/>
      <c r="Z957" s="74"/>
    </row>
    <row r="958">
      <c r="A958" s="74"/>
      <c r="B958" s="73"/>
      <c r="C958" s="73"/>
      <c r="D958" s="73"/>
      <c r="E958" s="73"/>
      <c r="F958" s="74"/>
      <c r="G958" s="74"/>
      <c r="H958" s="74"/>
      <c r="I958" s="74"/>
      <c r="J958" s="74"/>
      <c r="K958" s="74"/>
      <c r="L958" s="74"/>
      <c r="M958" s="74"/>
      <c r="N958" s="74"/>
      <c r="O958" s="74"/>
      <c r="P958" s="74"/>
      <c r="Q958" s="74"/>
      <c r="R958" s="74"/>
      <c r="S958" s="74"/>
      <c r="T958" s="74"/>
      <c r="U958" s="74"/>
      <c r="V958" s="74"/>
      <c r="W958" s="74"/>
      <c r="X958" s="74"/>
      <c r="Y958" s="74"/>
      <c r="Z958" s="74"/>
    </row>
    <row r="959">
      <c r="A959" s="74"/>
      <c r="B959" s="73"/>
      <c r="C959" s="73"/>
      <c r="D959" s="73"/>
      <c r="E959" s="73"/>
      <c r="F959" s="74"/>
      <c r="G959" s="74"/>
      <c r="H959" s="74"/>
      <c r="I959" s="74"/>
      <c r="J959" s="74"/>
      <c r="K959" s="74"/>
      <c r="L959" s="74"/>
      <c r="M959" s="74"/>
      <c r="N959" s="74"/>
      <c r="O959" s="74"/>
      <c r="P959" s="74"/>
      <c r="Q959" s="74"/>
      <c r="R959" s="74"/>
      <c r="S959" s="74"/>
      <c r="T959" s="74"/>
      <c r="U959" s="74"/>
      <c r="V959" s="74"/>
      <c r="W959" s="74"/>
      <c r="X959" s="74"/>
      <c r="Y959" s="74"/>
      <c r="Z959" s="74"/>
    </row>
    <row r="960">
      <c r="A960" s="74"/>
      <c r="B960" s="73"/>
      <c r="C960" s="73"/>
      <c r="D960" s="73"/>
      <c r="E960" s="73"/>
      <c r="F960" s="74"/>
      <c r="G960" s="74"/>
      <c r="H960" s="74"/>
      <c r="I960" s="74"/>
      <c r="J960" s="74"/>
      <c r="K960" s="74"/>
      <c r="L960" s="74"/>
      <c r="M960" s="74"/>
      <c r="N960" s="74"/>
      <c r="O960" s="74"/>
      <c r="P960" s="74"/>
      <c r="Q960" s="74"/>
      <c r="R960" s="74"/>
      <c r="S960" s="74"/>
      <c r="T960" s="74"/>
      <c r="U960" s="74"/>
      <c r="V960" s="74"/>
      <c r="W960" s="74"/>
      <c r="X960" s="74"/>
      <c r="Y960" s="74"/>
      <c r="Z960" s="74"/>
    </row>
    <row r="961">
      <c r="A961" s="74"/>
      <c r="B961" s="73"/>
      <c r="C961" s="73"/>
      <c r="D961" s="73"/>
      <c r="E961" s="73"/>
      <c r="F961" s="74"/>
      <c r="G961" s="74"/>
      <c r="H961" s="74"/>
      <c r="I961" s="74"/>
      <c r="J961" s="74"/>
      <c r="K961" s="74"/>
      <c r="L961" s="74"/>
      <c r="M961" s="74"/>
      <c r="N961" s="74"/>
      <c r="O961" s="74"/>
      <c r="P961" s="74"/>
      <c r="Q961" s="74"/>
      <c r="R961" s="74"/>
      <c r="S961" s="74"/>
      <c r="T961" s="74"/>
      <c r="U961" s="74"/>
      <c r="V961" s="74"/>
      <c r="W961" s="74"/>
      <c r="X961" s="74"/>
      <c r="Y961" s="74"/>
      <c r="Z961" s="74"/>
    </row>
    <row r="962">
      <c r="A962" s="74"/>
      <c r="B962" s="73"/>
      <c r="C962" s="73"/>
      <c r="D962" s="73"/>
      <c r="E962" s="73"/>
      <c r="F962" s="74"/>
      <c r="G962" s="74"/>
      <c r="H962" s="74"/>
      <c r="I962" s="74"/>
      <c r="J962" s="74"/>
      <c r="K962" s="74"/>
      <c r="L962" s="74"/>
      <c r="M962" s="74"/>
      <c r="N962" s="74"/>
      <c r="O962" s="74"/>
      <c r="P962" s="74"/>
      <c r="Q962" s="74"/>
      <c r="R962" s="74"/>
      <c r="S962" s="74"/>
      <c r="T962" s="74"/>
      <c r="U962" s="74"/>
      <c r="V962" s="74"/>
      <c r="W962" s="74"/>
      <c r="X962" s="74"/>
      <c r="Y962" s="74"/>
      <c r="Z962" s="74"/>
    </row>
    <row r="963">
      <c r="A963" s="74"/>
      <c r="B963" s="73"/>
      <c r="C963" s="73"/>
      <c r="D963" s="73"/>
      <c r="E963" s="73"/>
      <c r="F963" s="74"/>
      <c r="G963" s="74"/>
      <c r="H963" s="74"/>
      <c r="I963" s="74"/>
      <c r="J963" s="74"/>
      <c r="K963" s="74"/>
      <c r="L963" s="74"/>
      <c r="M963" s="74"/>
      <c r="N963" s="74"/>
      <c r="O963" s="74"/>
      <c r="P963" s="74"/>
      <c r="Q963" s="74"/>
      <c r="R963" s="74"/>
      <c r="S963" s="74"/>
      <c r="T963" s="74"/>
      <c r="U963" s="74"/>
      <c r="V963" s="74"/>
      <c r="W963" s="74"/>
      <c r="X963" s="74"/>
      <c r="Y963" s="74"/>
      <c r="Z963" s="74"/>
    </row>
    <row r="964">
      <c r="A964" s="74"/>
      <c r="B964" s="73"/>
      <c r="C964" s="73"/>
      <c r="D964" s="73"/>
      <c r="E964" s="73"/>
      <c r="F964" s="74"/>
      <c r="G964" s="74"/>
      <c r="H964" s="74"/>
      <c r="I964" s="74"/>
      <c r="J964" s="74"/>
      <c r="K964" s="74"/>
      <c r="L964" s="74"/>
      <c r="M964" s="74"/>
      <c r="N964" s="74"/>
      <c r="O964" s="74"/>
      <c r="P964" s="74"/>
      <c r="Q964" s="74"/>
      <c r="R964" s="74"/>
      <c r="S964" s="74"/>
      <c r="T964" s="74"/>
      <c r="U964" s="74"/>
      <c r="V964" s="74"/>
      <c r="W964" s="74"/>
      <c r="X964" s="74"/>
      <c r="Y964" s="74"/>
      <c r="Z964" s="74"/>
    </row>
    <row r="965">
      <c r="A965" s="74"/>
      <c r="B965" s="73"/>
      <c r="C965" s="73"/>
      <c r="D965" s="73"/>
      <c r="E965" s="73"/>
      <c r="F965" s="74"/>
      <c r="G965" s="74"/>
      <c r="H965" s="74"/>
      <c r="I965" s="74"/>
      <c r="J965" s="74"/>
      <c r="K965" s="74"/>
      <c r="L965" s="74"/>
      <c r="M965" s="74"/>
      <c r="N965" s="74"/>
      <c r="O965" s="74"/>
      <c r="P965" s="74"/>
      <c r="Q965" s="74"/>
      <c r="R965" s="74"/>
      <c r="S965" s="74"/>
      <c r="T965" s="74"/>
      <c r="U965" s="74"/>
      <c r="V965" s="74"/>
      <c r="W965" s="74"/>
      <c r="X965" s="74"/>
      <c r="Y965" s="74"/>
      <c r="Z965" s="74"/>
    </row>
    <row r="966">
      <c r="A966" s="74"/>
      <c r="B966" s="73"/>
      <c r="C966" s="73"/>
      <c r="D966" s="73"/>
      <c r="E966" s="73"/>
      <c r="F966" s="74"/>
      <c r="G966" s="74"/>
      <c r="H966" s="74"/>
      <c r="I966" s="74"/>
      <c r="J966" s="74"/>
      <c r="K966" s="74"/>
      <c r="L966" s="74"/>
      <c r="M966" s="74"/>
      <c r="N966" s="74"/>
      <c r="O966" s="74"/>
      <c r="P966" s="74"/>
      <c r="Q966" s="74"/>
      <c r="R966" s="74"/>
      <c r="S966" s="74"/>
      <c r="T966" s="74"/>
      <c r="U966" s="74"/>
      <c r="V966" s="74"/>
      <c r="W966" s="74"/>
      <c r="X966" s="74"/>
      <c r="Y966" s="74"/>
      <c r="Z966" s="74"/>
    </row>
    <row r="967">
      <c r="A967" s="74"/>
      <c r="B967" s="73"/>
      <c r="C967" s="73"/>
      <c r="D967" s="73"/>
      <c r="E967" s="73"/>
      <c r="F967" s="74"/>
      <c r="G967" s="74"/>
      <c r="H967" s="74"/>
      <c r="I967" s="74"/>
      <c r="J967" s="74"/>
      <c r="K967" s="74"/>
      <c r="L967" s="74"/>
      <c r="M967" s="74"/>
      <c r="N967" s="74"/>
      <c r="O967" s="74"/>
      <c r="P967" s="74"/>
      <c r="Q967" s="74"/>
      <c r="R967" s="74"/>
      <c r="S967" s="74"/>
      <c r="T967" s="74"/>
      <c r="U967" s="74"/>
      <c r="V967" s="74"/>
      <c r="W967" s="74"/>
      <c r="X967" s="74"/>
      <c r="Y967" s="74"/>
      <c r="Z967" s="74"/>
    </row>
    <row r="968">
      <c r="A968" s="74"/>
      <c r="B968" s="73"/>
      <c r="C968" s="73"/>
      <c r="D968" s="73"/>
      <c r="E968" s="73"/>
      <c r="F968" s="74"/>
      <c r="G968" s="74"/>
      <c r="H968" s="74"/>
      <c r="I968" s="74"/>
      <c r="J968" s="74"/>
      <c r="K968" s="74"/>
      <c r="L968" s="74"/>
      <c r="M968" s="74"/>
      <c r="N968" s="74"/>
      <c r="O968" s="74"/>
      <c r="P968" s="74"/>
      <c r="Q968" s="74"/>
      <c r="R968" s="74"/>
      <c r="S968" s="74"/>
      <c r="T968" s="74"/>
      <c r="U968" s="74"/>
      <c r="V968" s="74"/>
      <c r="W968" s="74"/>
      <c r="X968" s="74"/>
      <c r="Y968" s="74"/>
      <c r="Z968" s="74"/>
    </row>
    <row r="969">
      <c r="A969" s="74"/>
      <c r="B969" s="73"/>
      <c r="C969" s="73"/>
      <c r="D969" s="73"/>
      <c r="E969" s="73"/>
      <c r="F969" s="74"/>
      <c r="G969" s="74"/>
      <c r="H969" s="74"/>
      <c r="I969" s="74"/>
      <c r="J969" s="74"/>
      <c r="K969" s="74"/>
      <c r="L969" s="74"/>
      <c r="M969" s="74"/>
      <c r="N969" s="74"/>
      <c r="O969" s="74"/>
      <c r="P969" s="74"/>
      <c r="Q969" s="74"/>
      <c r="R969" s="74"/>
      <c r="S969" s="74"/>
      <c r="T969" s="74"/>
      <c r="U969" s="74"/>
      <c r="V969" s="74"/>
      <c r="W969" s="74"/>
      <c r="X969" s="74"/>
      <c r="Y969" s="74"/>
      <c r="Z969" s="74"/>
    </row>
    <row r="970">
      <c r="A970" s="74"/>
      <c r="B970" s="73"/>
      <c r="C970" s="73"/>
      <c r="D970" s="73"/>
      <c r="E970" s="73"/>
      <c r="F970" s="74"/>
      <c r="G970" s="74"/>
      <c r="H970" s="74"/>
      <c r="I970" s="74"/>
      <c r="J970" s="74"/>
      <c r="K970" s="74"/>
      <c r="L970" s="74"/>
      <c r="M970" s="74"/>
      <c r="N970" s="74"/>
      <c r="O970" s="74"/>
      <c r="P970" s="74"/>
      <c r="Q970" s="74"/>
      <c r="R970" s="74"/>
      <c r="S970" s="74"/>
      <c r="T970" s="74"/>
      <c r="U970" s="74"/>
      <c r="V970" s="74"/>
      <c r="W970" s="74"/>
      <c r="X970" s="74"/>
      <c r="Y970" s="74"/>
      <c r="Z970" s="74"/>
    </row>
    <row r="971">
      <c r="A971" s="74"/>
      <c r="B971" s="73"/>
      <c r="C971" s="73"/>
      <c r="D971" s="73"/>
      <c r="E971" s="73"/>
      <c r="F971" s="74"/>
      <c r="G971" s="74"/>
      <c r="H971" s="74"/>
      <c r="I971" s="74"/>
      <c r="J971" s="74"/>
      <c r="K971" s="74"/>
      <c r="L971" s="74"/>
      <c r="M971" s="74"/>
      <c r="N971" s="74"/>
      <c r="O971" s="74"/>
      <c r="P971" s="74"/>
      <c r="Q971" s="74"/>
      <c r="R971" s="74"/>
      <c r="S971" s="74"/>
      <c r="T971" s="74"/>
      <c r="U971" s="74"/>
      <c r="V971" s="74"/>
      <c r="W971" s="74"/>
      <c r="X971" s="74"/>
      <c r="Y971" s="74"/>
      <c r="Z971" s="74"/>
    </row>
    <row r="972">
      <c r="A972" s="74"/>
      <c r="B972" s="73"/>
      <c r="C972" s="73"/>
      <c r="D972" s="73"/>
      <c r="E972" s="73"/>
      <c r="F972" s="74"/>
      <c r="G972" s="74"/>
      <c r="H972" s="74"/>
      <c r="I972" s="74"/>
      <c r="J972" s="74"/>
      <c r="K972" s="74"/>
      <c r="L972" s="74"/>
      <c r="M972" s="74"/>
      <c r="N972" s="74"/>
      <c r="O972" s="74"/>
      <c r="P972" s="74"/>
      <c r="Q972" s="74"/>
      <c r="R972" s="74"/>
      <c r="S972" s="74"/>
      <c r="T972" s="74"/>
      <c r="U972" s="74"/>
      <c r="V972" s="74"/>
      <c r="W972" s="74"/>
      <c r="X972" s="74"/>
      <c r="Y972" s="74"/>
      <c r="Z972" s="74"/>
    </row>
    <row r="973">
      <c r="A973" s="74"/>
      <c r="B973" s="73"/>
      <c r="C973" s="73"/>
      <c r="D973" s="73"/>
      <c r="E973" s="73"/>
      <c r="F973" s="74"/>
      <c r="G973" s="74"/>
      <c r="H973" s="74"/>
      <c r="I973" s="74"/>
      <c r="J973" s="74"/>
      <c r="K973" s="74"/>
      <c r="L973" s="74"/>
      <c r="M973" s="74"/>
      <c r="N973" s="74"/>
      <c r="O973" s="74"/>
      <c r="P973" s="74"/>
      <c r="Q973" s="74"/>
      <c r="R973" s="74"/>
      <c r="S973" s="74"/>
      <c r="T973" s="74"/>
      <c r="U973" s="74"/>
      <c r="V973" s="74"/>
      <c r="W973" s="74"/>
      <c r="X973" s="74"/>
      <c r="Y973" s="74"/>
      <c r="Z973" s="74"/>
    </row>
    <row r="974">
      <c r="A974" s="74"/>
      <c r="B974" s="73"/>
      <c r="C974" s="73"/>
      <c r="D974" s="73"/>
      <c r="E974" s="73"/>
      <c r="F974" s="74"/>
      <c r="G974" s="74"/>
      <c r="H974" s="74"/>
      <c r="I974" s="74"/>
      <c r="J974" s="74"/>
      <c r="K974" s="74"/>
      <c r="L974" s="74"/>
      <c r="M974" s="74"/>
      <c r="N974" s="74"/>
      <c r="O974" s="74"/>
      <c r="P974" s="74"/>
      <c r="Q974" s="74"/>
      <c r="R974" s="74"/>
      <c r="S974" s="74"/>
      <c r="T974" s="74"/>
      <c r="U974" s="74"/>
      <c r="V974" s="74"/>
      <c r="W974" s="74"/>
      <c r="X974" s="74"/>
      <c r="Y974" s="74"/>
      <c r="Z974" s="74"/>
    </row>
    <row r="975">
      <c r="A975" s="74"/>
      <c r="B975" s="73"/>
      <c r="C975" s="73"/>
      <c r="D975" s="73"/>
      <c r="E975" s="73"/>
      <c r="F975" s="74"/>
      <c r="G975" s="74"/>
      <c r="H975" s="74"/>
      <c r="I975" s="74"/>
      <c r="J975" s="74"/>
      <c r="K975" s="74"/>
      <c r="L975" s="74"/>
      <c r="M975" s="74"/>
      <c r="N975" s="74"/>
      <c r="O975" s="74"/>
      <c r="P975" s="74"/>
      <c r="Q975" s="74"/>
      <c r="R975" s="74"/>
      <c r="S975" s="74"/>
      <c r="T975" s="74"/>
      <c r="U975" s="74"/>
      <c r="V975" s="74"/>
      <c r="W975" s="74"/>
      <c r="X975" s="74"/>
      <c r="Y975" s="74"/>
      <c r="Z975" s="74"/>
    </row>
    <row r="976">
      <c r="A976" s="74"/>
      <c r="B976" s="73"/>
      <c r="C976" s="73"/>
      <c r="D976" s="73"/>
      <c r="E976" s="73"/>
      <c r="F976" s="74"/>
      <c r="G976" s="74"/>
      <c r="H976" s="74"/>
      <c r="I976" s="74"/>
      <c r="J976" s="74"/>
      <c r="K976" s="74"/>
      <c r="L976" s="74"/>
      <c r="M976" s="74"/>
      <c r="N976" s="74"/>
      <c r="O976" s="74"/>
      <c r="P976" s="74"/>
      <c r="Q976" s="74"/>
      <c r="R976" s="74"/>
      <c r="S976" s="74"/>
      <c r="T976" s="74"/>
      <c r="U976" s="74"/>
      <c r="V976" s="74"/>
      <c r="W976" s="74"/>
      <c r="X976" s="74"/>
      <c r="Y976" s="74"/>
      <c r="Z976" s="74"/>
    </row>
    <row r="977">
      <c r="A977" s="74"/>
      <c r="B977" s="73"/>
      <c r="C977" s="73"/>
      <c r="D977" s="73"/>
      <c r="E977" s="73"/>
      <c r="F977" s="74"/>
      <c r="G977" s="74"/>
      <c r="H977" s="74"/>
      <c r="I977" s="74"/>
      <c r="J977" s="74"/>
      <c r="K977" s="74"/>
      <c r="L977" s="74"/>
      <c r="M977" s="74"/>
      <c r="N977" s="74"/>
      <c r="O977" s="74"/>
      <c r="P977" s="74"/>
      <c r="Q977" s="74"/>
      <c r="R977" s="74"/>
      <c r="S977" s="74"/>
      <c r="T977" s="74"/>
      <c r="U977" s="74"/>
      <c r="V977" s="74"/>
      <c r="W977" s="74"/>
      <c r="X977" s="74"/>
      <c r="Y977" s="74"/>
      <c r="Z977" s="74"/>
    </row>
    <row r="978">
      <c r="A978" s="74"/>
      <c r="B978" s="73"/>
      <c r="C978" s="73"/>
      <c r="D978" s="73"/>
      <c r="E978" s="73"/>
      <c r="F978" s="74"/>
      <c r="G978" s="74"/>
      <c r="H978" s="74"/>
      <c r="I978" s="74"/>
      <c r="J978" s="74"/>
      <c r="K978" s="74"/>
      <c r="L978" s="74"/>
      <c r="M978" s="74"/>
      <c r="N978" s="74"/>
      <c r="O978" s="74"/>
      <c r="P978" s="74"/>
      <c r="Q978" s="74"/>
      <c r="R978" s="74"/>
      <c r="S978" s="74"/>
      <c r="T978" s="74"/>
      <c r="U978" s="74"/>
      <c r="V978" s="74"/>
      <c r="W978" s="74"/>
      <c r="X978" s="74"/>
      <c r="Y978" s="74"/>
      <c r="Z978" s="74"/>
    </row>
    <row r="979">
      <c r="A979" s="74"/>
      <c r="B979" s="73"/>
      <c r="C979" s="73"/>
      <c r="D979" s="73"/>
      <c r="E979" s="73"/>
      <c r="F979" s="74"/>
      <c r="G979" s="74"/>
      <c r="H979" s="74"/>
      <c r="I979" s="74"/>
      <c r="J979" s="74"/>
      <c r="K979" s="74"/>
      <c r="L979" s="74"/>
      <c r="M979" s="74"/>
      <c r="N979" s="74"/>
      <c r="O979" s="74"/>
      <c r="P979" s="74"/>
      <c r="Q979" s="74"/>
      <c r="R979" s="74"/>
      <c r="S979" s="74"/>
      <c r="T979" s="74"/>
      <c r="U979" s="74"/>
      <c r="V979" s="74"/>
      <c r="W979" s="74"/>
      <c r="X979" s="74"/>
      <c r="Y979" s="74"/>
      <c r="Z979" s="74"/>
    </row>
    <row r="980">
      <c r="A980" s="74"/>
      <c r="B980" s="73"/>
      <c r="C980" s="73"/>
      <c r="D980" s="73"/>
      <c r="E980" s="73"/>
      <c r="F980" s="74"/>
      <c r="G980" s="74"/>
      <c r="H980" s="74"/>
      <c r="I980" s="74"/>
      <c r="J980" s="74"/>
      <c r="K980" s="74"/>
      <c r="L980" s="74"/>
      <c r="M980" s="74"/>
      <c r="N980" s="74"/>
      <c r="O980" s="74"/>
      <c r="P980" s="74"/>
      <c r="Q980" s="74"/>
      <c r="R980" s="74"/>
      <c r="S980" s="74"/>
      <c r="T980" s="74"/>
      <c r="U980" s="74"/>
      <c r="V980" s="74"/>
      <c r="W980" s="74"/>
      <c r="X980" s="74"/>
      <c r="Y980" s="74"/>
      <c r="Z980" s="74"/>
    </row>
    <row r="981">
      <c r="A981" s="74"/>
      <c r="B981" s="73"/>
      <c r="C981" s="73"/>
      <c r="D981" s="73"/>
      <c r="E981" s="73"/>
      <c r="F981" s="74"/>
      <c r="G981" s="74"/>
      <c r="H981" s="74"/>
      <c r="I981" s="74"/>
      <c r="J981" s="74"/>
      <c r="K981" s="74"/>
      <c r="L981" s="74"/>
      <c r="M981" s="74"/>
      <c r="N981" s="74"/>
      <c r="O981" s="74"/>
      <c r="P981" s="74"/>
      <c r="Q981" s="74"/>
      <c r="R981" s="74"/>
      <c r="S981" s="74"/>
      <c r="T981" s="74"/>
      <c r="U981" s="74"/>
      <c r="V981" s="74"/>
      <c r="W981" s="74"/>
      <c r="X981" s="74"/>
      <c r="Y981" s="74"/>
      <c r="Z981" s="74"/>
    </row>
    <row r="982">
      <c r="A982" s="74"/>
      <c r="B982" s="73"/>
      <c r="C982" s="73"/>
      <c r="D982" s="73"/>
      <c r="E982" s="73"/>
      <c r="F982" s="74"/>
      <c r="G982" s="74"/>
      <c r="H982" s="74"/>
      <c r="I982" s="74"/>
      <c r="J982" s="74"/>
      <c r="K982" s="74"/>
      <c r="L982" s="74"/>
      <c r="M982" s="74"/>
      <c r="N982" s="74"/>
      <c r="O982" s="74"/>
      <c r="P982" s="74"/>
      <c r="Q982" s="74"/>
      <c r="R982" s="74"/>
      <c r="S982" s="74"/>
      <c r="T982" s="74"/>
      <c r="U982" s="74"/>
      <c r="V982" s="74"/>
      <c r="W982" s="74"/>
      <c r="X982" s="74"/>
      <c r="Y982" s="74"/>
      <c r="Z982" s="74"/>
    </row>
    <row r="983">
      <c r="A983" s="74"/>
      <c r="B983" s="73"/>
      <c r="C983" s="73"/>
      <c r="D983" s="73"/>
      <c r="E983" s="73"/>
      <c r="F983" s="74"/>
      <c r="G983" s="74"/>
      <c r="H983" s="74"/>
      <c r="I983" s="74"/>
      <c r="J983" s="74"/>
      <c r="K983" s="74"/>
      <c r="L983" s="74"/>
      <c r="M983" s="74"/>
      <c r="N983" s="74"/>
      <c r="O983" s="74"/>
      <c r="P983" s="74"/>
      <c r="Q983" s="74"/>
      <c r="R983" s="74"/>
      <c r="S983" s="74"/>
      <c r="T983" s="74"/>
      <c r="U983" s="74"/>
      <c r="V983" s="74"/>
      <c r="W983" s="74"/>
      <c r="X983" s="74"/>
      <c r="Y983" s="74"/>
      <c r="Z983" s="74"/>
    </row>
    <row r="984">
      <c r="A984" s="74"/>
      <c r="B984" s="73"/>
      <c r="C984" s="73"/>
      <c r="D984" s="73"/>
      <c r="E984" s="73"/>
      <c r="F984" s="74"/>
      <c r="G984" s="74"/>
      <c r="H984" s="74"/>
      <c r="I984" s="74"/>
      <c r="J984" s="74"/>
      <c r="K984" s="74"/>
      <c r="L984" s="74"/>
      <c r="M984" s="74"/>
      <c r="N984" s="74"/>
      <c r="O984" s="74"/>
      <c r="P984" s="74"/>
      <c r="Q984" s="74"/>
      <c r="R984" s="74"/>
      <c r="S984" s="74"/>
      <c r="T984" s="74"/>
      <c r="U984" s="74"/>
      <c r="V984" s="74"/>
      <c r="W984" s="74"/>
      <c r="X984" s="74"/>
      <c r="Y984" s="74"/>
      <c r="Z984" s="74"/>
    </row>
    <row r="985">
      <c r="A985" s="74"/>
      <c r="B985" s="73"/>
      <c r="C985" s="73"/>
      <c r="D985" s="73"/>
      <c r="E985" s="73"/>
      <c r="F985" s="74"/>
      <c r="G985" s="74"/>
      <c r="H985" s="74"/>
      <c r="I985" s="74"/>
      <c r="J985" s="74"/>
      <c r="K985" s="74"/>
      <c r="L985" s="74"/>
      <c r="M985" s="74"/>
      <c r="N985" s="74"/>
      <c r="O985" s="74"/>
      <c r="P985" s="74"/>
      <c r="Q985" s="74"/>
      <c r="R985" s="74"/>
      <c r="S985" s="74"/>
      <c r="T985" s="74"/>
      <c r="U985" s="74"/>
      <c r="V985" s="74"/>
      <c r="W985" s="74"/>
      <c r="X985" s="74"/>
      <c r="Y985" s="74"/>
      <c r="Z985" s="74"/>
    </row>
    <row r="986">
      <c r="A986" s="74"/>
      <c r="B986" s="73"/>
      <c r="C986" s="73"/>
      <c r="D986" s="73"/>
      <c r="E986" s="73"/>
      <c r="F986" s="74"/>
      <c r="G986" s="74"/>
      <c r="H986" s="74"/>
      <c r="I986" s="74"/>
      <c r="J986" s="74"/>
      <c r="K986" s="74"/>
      <c r="L986" s="74"/>
      <c r="M986" s="74"/>
      <c r="N986" s="74"/>
      <c r="O986" s="74"/>
      <c r="P986" s="74"/>
      <c r="Q986" s="74"/>
      <c r="R986" s="74"/>
      <c r="S986" s="74"/>
      <c r="T986" s="74"/>
      <c r="U986" s="74"/>
      <c r="V986" s="74"/>
      <c r="W986" s="74"/>
      <c r="X986" s="74"/>
      <c r="Y986" s="74"/>
      <c r="Z986" s="74"/>
    </row>
    <row r="987">
      <c r="A987" s="74"/>
      <c r="B987" s="73"/>
      <c r="C987" s="73"/>
      <c r="D987" s="73"/>
      <c r="E987" s="73"/>
      <c r="F987" s="74"/>
      <c r="G987" s="74"/>
      <c r="H987" s="74"/>
      <c r="I987" s="74"/>
      <c r="J987" s="74"/>
      <c r="K987" s="74"/>
      <c r="L987" s="74"/>
      <c r="M987" s="74"/>
      <c r="N987" s="74"/>
      <c r="O987" s="74"/>
      <c r="P987" s="74"/>
      <c r="Q987" s="74"/>
      <c r="R987" s="74"/>
      <c r="S987" s="74"/>
      <c r="T987" s="74"/>
      <c r="U987" s="74"/>
      <c r="V987" s="74"/>
      <c r="W987" s="74"/>
      <c r="X987" s="74"/>
      <c r="Y987" s="74"/>
      <c r="Z987" s="74"/>
    </row>
    <row r="988">
      <c r="A988" s="74"/>
      <c r="B988" s="73"/>
      <c r="C988" s="73"/>
      <c r="D988" s="73"/>
      <c r="E988" s="73"/>
      <c r="F988" s="74"/>
      <c r="G988" s="74"/>
      <c r="H988" s="74"/>
      <c r="I988" s="74"/>
      <c r="J988" s="74"/>
      <c r="K988" s="74"/>
      <c r="L988" s="74"/>
      <c r="M988" s="74"/>
      <c r="N988" s="74"/>
      <c r="O988" s="74"/>
      <c r="P988" s="74"/>
      <c r="Q988" s="74"/>
      <c r="R988" s="74"/>
      <c r="S988" s="74"/>
      <c r="T988" s="74"/>
      <c r="U988" s="74"/>
      <c r="V988" s="74"/>
      <c r="W988" s="74"/>
      <c r="X988" s="74"/>
      <c r="Y988" s="74"/>
      <c r="Z988" s="74"/>
    </row>
    <row r="989">
      <c r="A989" s="74"/>
      <c r="B989" s="73"/>
      <c r="C989" s="73"/>
      <c r="D989" s="73"/>
      <c r="E989" s="73"/>
      <c r="F989" s="74"/>
      <c r="G989" s="74"/>
      <c r="H989" s="74"/>
      <c r="I989" s="74"/>
      <c r="J989" s="74"/>
      <c r="K989" s="74"/>
      <c r="L989" s="74"/>
      <c r="M989" s="74"/>
      <c r="N989" s="74"/>
      <c r="O989" s="74"/>
      <c r="P989" s="74"/>
      <c r="Q989" s="74"/>
      <c r="R989" s="74"/>
      <c r="S989" s="74"/>
      <c r="T989" s="74"/>
      <c r="U989" s="74"/>
      <c r="V989" s="74"/>
      <c r="W989" s="74"/>
      <c r="X989" s="74"/>
      <c r="Y989" s="74"/>
      <c r="Z989" s="74"/>
    </row>
    <row r="990">
      <c r="A990" s="74"/>
      <c r="B990" s="73"/>
      <c r="C990" s="73"/>
      <c r="D990" s="73"/>
      <c r="E990" s="73"/>
      <c r="F990" s="74"/>
      <c r="G990" s="74"/>
      <c r="H990" s="74"/>
      <c r="I990" s="74"/>
      <c r="J990" s="74"/>
      <c r="K990" s="74"/>
      <c r="L990" s="74"/>
      <c r="M990" s="74"/>
      <c r="N990" s="74"/>
      <c r="O990" s="74"/>
      <c r="P990" s="74"/>
      <c r="Q990" s="74"/>
      <c r="R990" s="74"/>
      <c r="S990" s="74"/>
      <c r="T990" s="74"/>
      <c r="U990" s="74"/>
      <c r="V990" s="74"/>
      <c r="W990" s="74"/>
      <c r="X990" s="74"/>
      <c r="Y990" s="74"/>
      <c r="Z990" s="74"/>
    </row>
    <row r="991">
      <c r="A991" s="74"/>
      <c r="B991" s="73"/>
      <c r="C991" s="73"/>
      <c r="D991" s="73"/>
      <c r="E991" s="73"/>
      <c r="F991" s="74"/>
      <c r="G991" s="74"/>
      <c r="H991" s="74"/>
      <c r="I991" s="74"/>
      <c r="J991" s="74"/>
      <c r="K991" s="74"/>
      <c r="L991" s="74"/>
      <c r="M991" s="74"/>
      <c r="N991" s="74"/>
      <c r="O991" s="74"/>
      <c r="P991" s="74"/>
      <c r="Q991" s="74"/>
      <c r="R991" s="74"/>
      <c r="S991" s="74"/>
      <c r="T991" s="74"/>
      <c r="U991" s="74"/>
      <c r="V991" s="74"/>
      <c r="W991" s="74"/>
      <c r="X991" s="74"/>
      <c r="Y991" s="74"/>
      <c r="Z991" s="74"/>
    </row>
    <row r="992">
      <c r="A992" s="74"/>
      <c r="B992" s="73"/>
      <c r="C992" s="73"/>
      <c r="D992" s="73"/>
      <c r="E992" s="73"/>
      <c r="F992" s="74"/>
      <c r="G992" s="74"/>
      <c r="H992" s="74"/>
      <c r="I992" s="74"/>
      <c r="J992" s="74"/>
      <c r="K992" s="74"/>
      <c r="L992" s="74"/>
      <c r="M992" s="74"/>
      <c r="N992" s="74"/>
      <c r="O992" s="74"/>
      <c r="P992" s="74"/>
      <c r="Q992" s="74"/>
      <c r="R992" s="74"/>
      <c r="S992" s="74"/>
      <c r="T992" s="74"/>
      <c r="U992" s="74"/>
      <c r="V992" s="74"/>
      <c r="W992" s="74"/>
      <c r="X992" s="74"/>
      <c r="Y992" s="74"/>
      <c r="Z992" s="74"/>
    </row>
    <row r="993">
      <c r="A993" s="74"/>
      <c r="B993" s="73"/>
      <c r="C993" s="73"/>
      <c r="D993" s="73"/>
      <c r="E993" s="73"/>
      <c r="F993" s="74"/>
      <c r="G993" s="74"/>
      <c r="H993" s="74"/>
      <c r="I993" s="74"/>
      <c r="J993" s="74"/>
      <c r="K993" s="74"/>
      <c r="L993" s="74"/>
      <c r="M993" s="74"/>
      <c r="N993" s="74"/>
      <c r="O993" s="74"/>
      <c r="P993" s="74"/>
      <c r="Q993" s="74"/>
      <c r="R993" s="74"/>
      <c r="S993" s="74"/>
      <c r="T993" s="74"/>
      <c r="U993" s="74"/>
      <c r="V993" s="74"/>
      <c r="W993" s="74"/>
      <c r="X993" s="74"/>
      <c r="Y993" s="74"/>
      <c r="Z993" s="74"/>
    </row>
    <row r="994">
      <c r="A994" s="74"/>
      <c r="B994" s="73"/>
      <c r="C994" s="73"/>
      <c r="D994" s="73"/>
      <c r="E994" s="73"/>
      <c r="F994" s="74"/>
      <c r="G994" s="74"/>
      <c r="H994" s="74"/>
      <c r="I994" s="74"/>
      <c r="J994" s="74"/>
      <c r="K994" s="74"/>
      <c r="L994" s="74"/>
      <c r="M994" s="74"/>
      <c r="N994" s="74"/>
      <c r="O994" s="74"/>
      <c r="P994" s="74"/>
      <c r="Q994" s="74"/>
      <c r="R994" s="74"/>
      <c r="S994" s="74"/>
      <c r="T994" s="74"/>
      <c r="U994" s="74"/>
      <c r="V994" s="74"/>
      <c r="W994" s="74"/>
      <c r="X994" s="74"/>
      <c r="Y994" s="74"/>
      <c r="Z994" s="74"/>
    </row>
    <row r="995">
      <c r="A995" s="74"/>
      <c r="B995" s="73"/>
      <c r="C995" s="73"/>
      <c r="D995" s="73"/>
      <c r="E995" s="73"/>
      <c r="F995" s="74"/>
      <c r="G995" s="74"/>
      <c r="H995" s="74"/>
      <c r="I995" s="74"/>
      <c r="J995" s="74"/>
      <c r="K995" s="74"/>
      <c r="L995" s="74"/>
      <c r="M995" s="74"/>
      <c r="N995" s="74"/>
      <c r="O995" s="74"/>
      <c r="P995" s="74"/>
      <c r="Q995" s="74"/>
      <c r="R995" s="74"/>
      <c r="S995" s="74"/>
      <c r="T995" s="74"/>
      <c r="U995" s="74"/>
      <c r="V995" s="74"/>
      <c r="W995" s="74"/>
      <c r="X995" s="74"/>
      <c r="Y995" s="74"/>
      <c r="Z995" s="74"/>
    </row>
    <row r="996">
      <c r="A996" s="74"/>
      <c r="B996" s="73"/>
      <c r="C996" s="73"/>
      <c r="D996" s="73"/>
      <c r="E996" s="73"/>
      <c r="F996" s="74"/>
      <c r="G996" s="74"/>
      <c r="H996" s="74"/>
      <c r="I996" s="74"/>
      <c r="J996" s="74"/>
      <c r="K996" s="74"/>
      <c r="L996" s="74"/>
      <c r="M996" s="74"/>
      <c r="N996" s="74"/>
      <c r="O996" s="74"/>
      <c r="P996" s="74"/>
      <c r="Q996" s="74"/>
      <c r="R996" s="74"/>
      <c r="S996" s="74"/>
      <c r="T996" s="74"/>
      <c r="U996" s="74"/>
      <c r="V996" s="74"/>
      <c r="W996" s="74"/>
      <c r="X996" s="74"/>
      <c r="Y996" s="74"/>
      <c r="Z996" s="74"/>
    </row>
    <row r="997">
      <c r="A997" s="74"/>
      <c r="B997" s="73"/>
      <c r="C997" s="73"/>
      <c r="D997" s="73"/>
      <c r="E997" s="73"/>
      <c r="F997" s="74"/>
      <c r="G997" s="74"/>
      <c r="H997" s="74"/>
      <c r="I997" s="74"/>
      <c r="J997" s="74"/>
      <c r="K997" s="74"/>
      <c r="L997" s="74"/>
      <c r="M997" s="74"/>
      <c r="N997" s="74"/>
      <c r="O997" s="74"/>
      <c r="P997" s="74"/>
      <c r="Q997" s="74"/>
      <c r="R997" s="74"/>
      <c r="S997" s="74"/>
      <c r="T997" s="74"/>
      <c r="U997" s="74"/>
      <c r="V997" s="74"/>
      <c r="W997" s="74"/>
      <c r="X997" s="74"/>
      <c r="Y997" s="74"/>
      <c r="Z997" s="74"/>
    </row>
    <row r="998">
      <c r="A998" s="74"/>
      <c r="B998" s="73"/>
      <c r="C998" s="73"/>
      <c r="D998" s="73"/>
      <c r="E998" s="73"/>
      <c r="F998" s="74"/>
      <c r="G998" s="74"/>
      <c r="H998" s="74"/>
      <c r="I998" s="74"/>
      <c r="J998" s="74"/>
      <c r="K998" s="74"/>
      <c r="L998" s="74"/>
      <c r="M998" s="74"/>
      <c r="N998" s="74"/>
      <c r="O998" s="74"/>
      <c r="P998" s="74"/>
      <c r="Q998" s="74"/>
      <c r="R998" s="74"/>
      <c r="S998" s="74"/>
      <c r="T998" s="74"/>
      <c r="U998" s="74"/>
      <c r="V998" s="74"/>
      <c r="W998" s="74"/>
      <c r="X998" s="74"/>
      <c r="Y998" s="74"/>
      <c r="Z998" s="74"/>
    </row>
    <row r="999">
      <c r="A999" s="74"/>
      <c r="B999" s="73"/>
      <c r="C999" s="73"/>
      <c r="D999" s="73"/>
      <c r="E999" s="73"/>
      <c r="F999" s="74"/>
      <c r="G999" s="74"/>
      <c r="H999" s="74"/>
      <c r="I999" s="74"/>
      <c r="J999" s="74"/>
      <c r="K999" s="74"/>
      <c r="L999" s="74"/>
      <c r="M999" s="74"/>
      <c r="N999" s="74"/>
      <c r="O999" s="74"/>
      <c r="P999" s="74"/>
      <c r="Q999" s="74"/>
      <c r="R999" s="74"/>
      <c r="S999" s="74"/>
      <c r="T999" s="74"/>
      <c r="U999" s="74"/>
      <c r="V999" s="74"/>
      <c r="W999" s="74"/>
      <c r="X999" s="74"/>
      <c r="Y999" s="74"/>
      <c r="Z999" s="74"/>
    </row>
    <row r="1000">
      <c r="A1000" s="74"/>
      <c r="B1000" s="73"/>
      <c r="C1000" s="73"/>
      <c r="D1000" s="73"/>
      <c r="E1000" s="73"/>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drawing r:id="rId1"/>
</worksheet>
</file>